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roduct Marketing\Ryan\NPI\"/>
    </mc:Choice>
  </mc:AlternateContent>
  <xr:revisionPtr revIDLastSave="0" documentId="8_{0E3ED958-3B10-4A0C-ADC2-06B6FEE33408}" xr6:coauthVersionLast="47" xr6:coauthVersionMax="47" xr10:uidLastSave="{00000000-0000-0000-0000-000000000000}"/>
  <bookViews>
    <workbookView xWindow="-120" yWindow="-120" windowWidth="29040" windowHeight="15840" xr2:uid="{161EE9C0-EF70-4478-9753-E14F0ED3EF20}"/>
  </bookViews>
  <sheets>
    <sheet name="NPI LOAD TEMPLATE" sheetId="1" r:id="rId1"/>
  </sheets>
  <externalReferences>
    <externalReference r:id="rId2"/>
  </externalReferences>
  <definedNames>
    <definedName name="_xlnm._FilterDatabase" localSheetId="0" hidden="1">'NPI LOAD TEMPLATE'!$A$1:$AN$440</definedName>
    <definedName name="NoYes">'[1]Dynamics Enum Cache'!$A$1:$A$2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0" i="1" l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F4" i="1"/>
  <c r="F3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G3" i="1"/>
  <c r="G2" i="1"/>
  <c r="F2" i="1"/>
</calcChain>
</file>

<file path=xl/sharedStrings.xml><?xml version="1.0" encoding="utf-8"?>
<sst xmlns="http://schemas.openxmlformats.org/spreadsheetml/2006/main" count="1304" uniqueCount="377">
  <si>
    <t>Category</t>
  </si>
  <si>
    <t>Class</t>
  </si>
  <si>
    <t>Sub-Class (6-digit)</t>
  </si>
  <si>
    <t>Vendor# (5-digit)</t>
  </si>
  <si>
    <t>MFG or MFG ID# (4-digit)</t>
  </si>
  <si>
    <t>Purchase Cost</t>
  </si>
  <si>
    <t>MOQ?</t>
  </si>
  <si>
    <t>UPC</t>
  </si>
  <si>
    <t>Harminonized Code</t>
  </si>
  <si>
    <t>Title</t>
  </si>
  <si>
    <t>Image URL</t>
  </si>
  <si>
    <t>Datasheet URL</t>
  </si>
  <si>
    <t>Product Type</t>
  </si>
  <si>
    <t>Custom Attributes</t>
  </si>
  <si>
    <t>Q1</t>
  </si>
  <si>
    <t>P1</t>
  </si>
  <si>
    <t>Q2</t>
  </si>
  <si>
    <t>P2</t>
  </si>
  <si>
    <t>Q3</t>
  </si>
  <si>
    <t>P3</t>
  </si>
  <si>
    <t>Q4</t>
  </si>
  <si>
    <t>P4</t>
  </si>
  <si>
    <t>Q5</t>
  </si>
  <si>
    <t>P5</t>
  </si>
  <si>
    <t>RoHS? (Y/N)</t>
  </si>
  <si>
    <t>Net Weight</t>
  </si>
  <si>
    <t>Country of Origin</t>
  </si>
  <si>
    <t>JAMECO SKU</t>
  </si>
  <si>
    <t>Stocking Type</t>
  </si>
  <si>
    <t>Sell on 3rd Party Sites Allowed?</t>
  </si>
  <si>
    <t>Lead Time Days</t>
  </si>
  <si>
    <t>Multiples</t>
  </si>
  <si>
    <t>Unit of Measure</t>
  </si>
  <si>
    <t>Manufacturer's P/N (30 Characters Max)</t>
  </si>
  <si>
    <t>Product name (AX Description - 60 Characters Max)</t>
  </si>
  <si>
    <t>Description (Readable Version - Free Text - 100 Characters or Less)</t>
  </si>
  <si>
    <t>Warranty (Months)</t>
  </si>
  <si>
    <t>ECCN</t>
  </si>
  <si>
    <t>Y</t>
  </si>
  <si>
    <t>Z</t>
  </si>
  <si>
    <t>EAR99</t>
  </si>
  <si>
    <t>EA</t>
  </si>
  <si>
    <t>M1-120-2</t>
  </si>
  <si>
    <t>M1-1120-3</t>
  </si>
  <si>
    <t>M1-1208-4</t>
  </si>
  <si>
    <t>M1-1240-3</t>
  </si>
  <si>
    <t>M1-1240-4</t>
  </si>
  <si>
    <t>M1-1480-3</t>
  </si>
  <si>
    <t>M1-1480-4</t>
  </si>
  <si>
    <t>USA</t>
  </si>
  <si>
    <t>Mach 1 - 200 Amp Service 120 Volt Single Circuit</t>
  </si>
  <si>
    <t>Mach 1 - 200 Amp Service 120/240 Volt 1 Phase Circuit</t>
  </si>
  <si>
    <t>Mach 1 - 200 Amp Service 120/208 Volt 3 Phase Circuit WYE</t>
  </si>
  <si>
    <t>Mach 1 - 200 Amp Service 240 Volt 3 Phase Delta</t>
  </si>
  <si>
    <t>Mach 1 - 200 Amp Service 120/240 Volt 3 Phase Hi-Leg Delta</t>
  </si>
  <si>
    <t>Mach 1 - 200 Amp Service 480 Volt 3 Phase Delta</t>
  </si>
  <si>
    <t>Mach 1 - 200 Amp Service 277/480 Volt 3 Phase Circuit WYE</t>
  </si>
  <si>
    <t>M2-1120-3</t>
  </si>
  <si>
    <t>M2-1120-3RA</t>
  </si>
  <si>
    <t>M2-1208-4</t>
  </si>
  <si>
    <t>M2-1208-4RA</t>
  </si>
  <si>
    <t>M2-1240-3</t>
  </si>
  <si>
    <t>M2-1240-3RA</t>
  </si>
  <si>
    <t>M2-1240-4</t>
  </si>
  <si>
    <t>M2-1240-4RA</t>
  </si>
  <si>
    <t>M2-1480-3</t>
  </si>
  <si>
    <t>M2-1480-3RA</t>
  </si>
  <si>
    <t>M2-1480-4</t>
  </si>
  <si>
    <t>M2-1480-4RA</t>
  </si>
  <si>
    <t>M2-1600-3</t>
  </si>
  <si>
    <t>M2-1600-3RA</t>
  </si>
  <si>
    <t>M2-1600-4</t>
  </si>
  <si>
    <t>M2-1600-4RA</t>
  </si>
  <si>
    <t>Mach 2 - 400 Amp Service 120/240 Volt 1 Phase Circuit</t>
  </si>
  <si>
    <t>Mach 2 - 400 Amp Service 120/240 Volt 1 Phase Circuit RA</t>
  </si>
  <si>
    <t>Mach 2 - 400 Amp Service 120/208 Volt 3 Phase Circuit WYE</t>
  </si>
  <si>
    <t>Mach 2 - 400 Amp Service 120/208 Volt 3 Phase Circuit WYE RA</t>
  </si>
  <si>
    <t>Mach 2 - 400 Amp Service 240 Volt 3 Phase Circuit Delta</t>
  </si>
  <si>
    <t>Mach 2 - 400 Amp Service 240 Volt 3 Phase Circuit Delta RA</t>
  </si>
  <si>
    <t>Mach 2 - 400 Amp Service 120/240 Volt 3 Phase Hi-Leg Delta</t>
  </si>
  <si>
    <t>Mach 2 - 400 Amp Service 120/240 Volt 3Phase Hi-Leg Delta RA</t>
  </si>
  <si>
    <t>Mach 2 - 400 Amp Service 480 Volt 3 Phase Circuit Delta</t>
  </si>
  <si>
    <t>Mach 2 - 400 Amp Service 480 Volt 3 Phase Circuit Delta RA</t>
  </si>
  <si>
    <t>Mach 2 - 400 Amp Service 277/480 Volt 3 Phase Circuit WYE</t>
  </si>
  <si>
    <t>Mach 2 - 400 Amp Service 277/480 Volt 3 Phase Circuit WYE RA</t>
  </si>
  <si>
    <t>Mach 2 - 400 Amp Service 600 Volt 3 Phase Circuit Delta</t>
  </si>
  <si>
    <t>Mach 2 - 400 Amp Service 600 Volt 3 Phase Circuit Delta RA</t>
  </si>
  <si>
    <t>Mach 2 - 400 Amp Service 347/600 Volt 3 Phase Circuit WYE</t>
  </si>
  <si>
    <t>Mach 2 - 400 Amp Service 347/600 Volt 3 Phase Circuit WYE RA</t>
  </si>
  <si>
    <t>M3-1120-3</t>
  </si>
  <si>
    <t>M3-1120-3RA</t>
  </si>
  <si>
    <t>M3-1208-4</t>
  </si>
  <si>
    <t>M3-1208-4RA</t>
  </si>
  <si>
    <t>M3-1240-4</t>
  </si>
  <si>
    <t>M3-1240-4RA</t>
  </si>
  <si>
    <t>M3-1480-4</t>
  </si>
  <si>
    <t>M3-1480-4RA</t>
  </si>
  <si>
    <t>Mach 3 - 400 Amp Service 120/240 Volt 1 Phase Circuit</t>
  </si>
  <si>
    <t>Mach 3 - 400 Amp Service 120/240 Volt 1 Phase Circuit RA</t>
  </si>
  <si>
    <t>Mach 3 - 400 Amp Service 120/208 Volt 3 Phase Circuit WYE</t>
  </si>
  <si>
    <t>Mach 3 - 400 Amp Service 120/208 Volt 3 Phase Circuit WYE RA</t>
  </si>
  <si>
    <t>Mach 3 - 400 Amp Service 120/240 Volt 3 Phase Hi-Leg Delta</t>
  </si>
  <si>
    <t>Mach 3 - 400 Amp Service 120/240 Volt 3Phase Hi-Leg Delta RA</t>
  </si>
  <si>
    <t>Mach 3 - 400 Amp Service 277/480 Volt 3 Phase Circuit WYE</t>
  </si>
  <si>
    <t>Mach 3 - 400 Amp Service 277/480 Volt 3 Phase Circuit WYE RA</t>
  </si>
  <si>
    <t>M4-1120-3</t>
  </si>
  <si>
    <t>M4-1120-3RA</t>
  </si>
  <si>
    <t>M4-1208-4</t>
  </si>
  <si>
    <t>M4-1208-4RA</t>
  </si>
  <si>
    <t>M4-1240-3</t>
  </si>
  <si>
    <t>M4-1240-3RA</t>
  </si>
  <si>
    <t>M4-1240-4</t>
  </si>
  <si>
    <t>M4-1240-4RA</t>
  </si>
  <si>
    <t>M4-1480-3</t>
  </si>
  <si>
    <t>M4-1480-3RA</t>
  </si>
  <si>
    <t>M4-1480-4</t>
  </si>
  <si>
    <t>M4-1480-4RA</t>
  </si>
  <si>
    <t>M4-1600-3</t>
  </si>
  <si>
    <t>M4-1600-3RA</t>
  </si>
  <si>
    <t>M4-1600-4</t>
  </si>
  <si>
    <t>M4-1600-4RA</t>
  </si>
  <si>
    <t>Mach 4 - 800 Amp Service 120/240 Volt 1 Phase Circuit</t>
  </si>
  <si>
    <t>Mach 4 - 800 Amp Service 120/240 Volt 1 Phase Circuit RA</t>
  </si>
  <si>
    <t>Mach 4 - 800 Amp Service 120/208 Volt 3 Phase Circuit WYE</t>
  </si>
  <si>
    <t>Mach 4 - 800 Amp Service 120/208 Volt 3 Phase Circuit WYE RA</t>
  </si>
  <si>
    <t>Mach 4 - 800 Amp Service 240 Volt 3 Phase Circuit Delta</t>
  </si>
  <si>
    <t>Mach 4 - 800 Amp Service 240 Volt 3 Phase Circuit Delta RA</t>
  </si>
  <si>
    <t>Mach 4 - 800 Amp Service 120/240 Volt 3 Phase Hi-Leg Delta</t>
  </si>
  <si>
    <t>Mach 4 - 800 Amp Service 120/240 Volt 3Phase Hi-Leg Delta RA</t>
  </si>
  <si>
    <t>Mach 4 - 800 Amp Service 480 Volt 3 Phase Circuit Delta</t>
  </si>
  <si>
    <t>Mach 4 - 800 Amp Service 480 Volt 3 Phase Circuit Delta RA</t>
  </si>
  <si>
    <t>Mach 4 - 800 Amp Service 277/480 Volt 3 Phase Circuit WYE</t>
  </si>
  <si>
    <t>Mach 4 - 800 Amp Service 277/480 Volt 3 Phase Circuit WYE RA</t>
  </si>
  <si>
    <t>Mach 4 - 800 Amp Service 600 Volt 3 Phase Circuit Delta</t>
  </si>
  <si>
    <t>Mach 4 - 800 Amp Service 600 Volt 3 Phase Circuit Delta RA</t>
  </si>
  <si>
    <t>Mach 4 - 800 Amp Service 347/600 Volt 3 Phase Circuit WYE</t>
  </si>
  <si>
    <t>Mach 4 - 800 Amp Service 347/600 Volt 3 Phase Circuit WYE RA</t>
  </si>
  <si>
    <t>M5-1120-3</t>
  </si>
  <si>
    <t>M5-1120-3RA</t>
  </si>
  <si>
    <t>M5-1208-4</t>
  </si>
  <si>
    <t>M5-1208-4RA</t>
  </si>
  <si>
    <t>M5-1240-3</t>
  </si>
  <si>
    <t>M5-1240-3RA</t>
  </si>
  <si>
    <t>M5-1240-4</t>
  </si>
  <si>
    <t>M5-1240-4RA</t>
  </si>
  <si>
    <t>M5-1480-3</t>
  </si>
  <si>
    <t>M5-1480-3RA</t>
  </si>
  <si>
    <t>M5-1480-4</t>
  </si>
  <si>
    <t>M5-1480-4RA</t>
  </si>
  <si>
    <t>M5-1600-3</t>
  </si>
  <si>
    <t>M5-1600-3RA</t>
  </si>
  <si>
    <t>M5-1600-4</t>
  </si>
  <si>
    <t>M5-1600-4RA</t>
  </si>
  <si>
    <t>Mach 5 - 2500 Amp Service 120/240 Volt 1 Phase Circuit</t>
  </si>
  <si>
    <t>Mach 5 - 2500 Amp Service 120/240 Volt 1 Phase Circuit RA</t>
  </si>
  <si>
    <t>Mach 5 - 2500 Amp Service 120/208 Volt 3 Phase Circuit WYE</t>
  </si>
  <si>
    <t>Mach 5 - 2500 Amp Service 120/208 Volt 3Phase Circuit WYE RA</t>
  </si>
  <si>
    <t>Mach 5 - 2500 Amp Service 240 Volt 3 Phase Circuit Delta</t>
  </si>
  <si>
    <t>Mach 5 - 2500 Amp Service 240 Volt 3 Phase Circuit Delta RA</t>
  </si>
  <si>
    <t>Mach 5 - 2500 Amp Service 120/240 Volt 3 Phase Hi-Leg Delta</t>
  </si>
  <si>
    <t>Mach 5 - 2500 Amp Service 120/240 Volt 3Phase HiLeg Delta RA</t>
  </si>
  <si>
    <t>Mach 5 - 2500 Amp Service 480 Volt 3 Phase Circuit Delta</t>
  </si>
  <si>
    <t>Mach 5 - 2500 Amp Service 480 Volt 3 Phase Circuit Delta RA</t>
  </si>
  <si>
    <t>Mach 5 - 2500 Amp Service 277/480 Volt 3 Phase Circuit WYE</t>
  </si>
  <si>
    <t>Mach 5 - 2500 Amp Service 277/480 Volt 3Phase Circuit WYE RA</t>
  </si>
  <si>
    <t>Mach 5 - 2500 Amp Service 600 Volt 3Phase Circuit Delta</t>
  </si>
  <si>
    <t>Mach 5 - 2500 Amp Service 600 Volt 3 Phase Circuit Delta RA</t>
  </si>
  <si>
    <t>Mach 5 - 2500 Amp Service 347/600 Volt 3 Phase Circuit WYE</t>
  </si>
  <si>
    <t>Mach 5 - 2500 Amp Service 347/600 Volt 3Phase Circuit WYE RA</t>
  </si>
  <si>
    <t>M6-1120-3</t>
  </si>
  <si>
    <t>M6-1120-3RA</t>
  </si>
  <si>
    <t>M6-1208-4</t>
  </si>
  <si>
    <t>M6-1208-4RA</t>
  </si>
  <si>
    <t>M6-1240-3</t>
  </si>
  <si>
    <t>M6-1240-3RA</t>
  </si>
  <si>
    <t>M6-1240-4</t>
  </si>
  <si>
    <t>M6-1240-4RA</t>
  </si>
  <si>
    <t>M6-1480-3</t>
  </si>
  <si>
    <t>M6-1480-3RA</t>
  </si>
  <si>
    <t>M6-1480-4</t>
  </si>
  <si>
    <t>M6-1480-4RA</t>
  </si>
  <si>
    <t>M6-1600-3</t>
  </si>
  <si>
    <t>M6-1600-3RA</t>
  </si>
  <si>
    <t>M6-1600-4</t>
  </si>
  <si>
    <t>M6-1600-4RA</t>
  </si>
  <si>
    <t>Mach 6 - 6000 Amp Service 120/240 Volt 1 Phase Circuit</t>
  </si>
  <si>
    <t>Mach 6 - 6000 Amp Service 120/240 Volt 1 Phase Circuit RA</t>
  </si>
  <si>
    <t>Mach 6 - 6000 Amp Service 120/208 Volt 3 Phase Circuit WYE</t>
  </si>
  <si>
    <t>Mach 6 - 6000 Amp Service 120/208 Volt 3Phase Circuit WYE RA</t>
  </si>
  <si>
    <t>Mach 6 - 6000 Amp Service 240 Volt 3 Phase Circuit Delta</t>
  </si>
  <si>
    <t>Mach 6 - 6000 Amp Service 240 Volt 3 Phase Circuit Delta RA</t>
  </si>
  <si>
    <t>Mach 6 - 6000 Amp Service 120/240 Volt 3 Phase Hi-Leg Delta</t>
  </si>
  <si>
    <t>Mach 6 - 6000 Amp Service 120/240 Volt 3Phase HiLeg Delta RA</t>
  </si>
  <si>
    <t>Mach 6 - 6000 Amp Service 480 Volt 3 Phase Circuit Delta</t>
  </si>
  <si>
    <t>Mach 6 - 6000 Amp Service 480 Volt 3 Phase Circuit Delta RA</t>
  </si>
  <si>
    <t>Mach 6 - 6000 Amp Service 277/480 Volt 3 Phase Circuit WYE</t>
  </si>
  <si>
    <t>Mach 6 - 6000 Amp Service 277/480 Volt 3Phase Circuit WYE RA</t>
  </si>
  <si>
    <t>Mach 6 - 6000 Amp Service 600 Volt 3 Phase Circuit Delta</t>
  </si>
  <si>
    <t>Mach 6 - 6000 Amp Service 600 Volt 3 Phase Circuit Delta RA</t>
  </si>
  <si>
    <t>Mach 6 - 6000 Amp Service 347/600 Volt 3 Phase Circuit WYE</t>
  </si>
  <si>
    <t>Mach 6 - 6000 Amp Service 347/600 Volt 3Phase Circuit WYE RA</t>
  </si>
  <si>
    <t>MSW</t>
  </si>
  <si>
    <t>M99</t>
  </si>
  <si>
    <t>Surge Protection Device</t>
  </si>
  <si>
    <t>8536.30.0000</t>
  </si>
  <si>
    <t>Mach 1 - 200 Amp Service 120 Volt Single Circuit Surge Protection Device (SPD) Multi-Element (ME) Design Technology</t>
  </si>
  <si>
    <t>Mach 1 - 200 Amp Service 120/240 Volt 1 Phase Circuit Surge Protection Device (SPD) Multi-Element (ME) Design Technology</t>
  </si>
  <si>
    <t>Mach 1 - 200 Amp Service 120/208 Volt 3 Phase Circuit WYE Surge Protection Device (SPD) Multi-Element (ME) Design Technology</t>
  </si>
  <si>
    <t>Mach 1 - 200 Amp Service 240 Volt 3 Phase Delta Surge Protection Device (SPD) Multi-Element (ME) Design Technology</t>
  </si>
  <si>
    <t>Mach 1 - 200 Amp Service 120/240 Volt 3 Phase Hi-Leg Delta Surge Protection Device (SPD) Multi-Element (ME) Design Technology</t>
  </si>
  <si>
    <t>Mach 1 - 200 Amp Service 480 Volt 3 Phase Delta Surge Protection Device (SPD) Multi-Element (ME) Design Technology</t>
  </si>
  <si>
    <t>Mach 1 - 200 Amp Service 277/480 Volt 3 Phase Circuit WYE Surge Protection Device (SPD) Multi-Element (ME) Design Technology</t>
  </si>
  <si>
    <t>Mach 1 - 200 Amp Service 120 Volt Single Circuit Surge Protection Device (SPD) For Residential, Commercial, Industrial Grade, Multi-Element (ME) Design Technology (For IEEE Category B &amp; C Locations)</t>
  </si>
  <si>
    <t>Mach 1 - 200 Amp Service 120/240 Volt 1 Phase Circuit Surge Protection Device (SPD) For Residential, Commercial, Industrial Grade, Multi-Element (ME) Design Technology (For IEEE Category B &amp; C Locations)</t>
  </si>
  <si>
    <t>Mach 1 - 200 Amp Service 120/208 Volt 3 Phase Circuit WYE Surge Protection Device (SPD) For Residential, Commercial, Industrial Grade, Multi-Element (ME) Design Technology (For IEEE Category B &amp; C Locations)</t>
  </si>
  <si>
    <t>Mach 1 - 200 Amp Service 240 Volt 3 Phase Delta Surge Protection Device (SPD) For Residential, Commercial, Industrial Grade, Multi-Element (ME) Design Technology (For IEEE Category B &amp; C Locations)</t>
  </si>
  <si>
    <t>Mach 1 - 200 Amp Service 120/240 Volt 3 Phase Hi-Leg Delta Surge Protection Device (SPD) For Residential, Commercial, Industrial Grade, Multi-Element (ME) Design Technology (For IEEE Category B &amp; C Locations)</t>
  </si>
  <si>
    <t>Mach 1 - 200 Amp Service 480 Volt 3 Phase Delta Surge Protection Device (SPD) For Residential, Commercial, Industrial Grade, Multi-Element (ME) Design Technology (For IEEE Category B &amp; C Locations)</t>
  </si>
  <si>
    <t>Mach 1 - 200 Amp Service 277/480 Volt 3 Phase Circuit WYE Surge Protection Device (SPD) For Residential, Commercial, Industrial Grade, Multi-Element (ME) Design Technology (For IEEE Category B &amp; C Locations)</t>
  </si>
  <si>
    <t>Overview</t>
  </si>
  <si>
    <t>List Price</t>
  </si>
  <si>
    <t>Mach 2 - 400 Amp Service 120/240 Volt 1 Phase Circuit Surge Protection Device (SPD) Single-Element (SE) Design Technology</t>
  </si>
  <si>
    <t>Mach 2 - 400 Amp Service 120/240 Volt 1 Phase Circuit Remote Aware Contacts Surge Protection Device (SPD) Single-Element (SE) Design Technology</t>
  </si>
  <si>
    <t>Mach 2 - 400 Amp Service 120/208 Volt 3 Phase Circuit WYE Surge Protection Device (SPD) Single-Element (SE) Design Technology</t>
  </si>
  <si>
    <t>Mach 2 - 400 Amp Service 120/208 Volt 3 Phase Circuit WYE Remote Aware Contacts Surge Protection Device (SPD) Single-Element (SE) Design Technology</t>
  </si>
  <si>
    <t>Mach 2 - 400 Amp Service 240 Volt 3 Phase Circuit Delta Surge Protection Device (SPD) Single-Element (SE) Design Technology</t>
  </si>
  <si>
    <t>Mach 2 - 400 Amp Service 240 Volt 3 Phase Circuit Delta Remote Aware Contacts Surge Protection Device (SPD) Single-Element (SE) Design Technology</t>
  </si>
  <si>
    <t>Mach 2 - 400 Amp Service 120/240 Volt 3 Phase Hi-Leg Delta Surge Protection Device (SPD) Single-Element (SE) Design Technology</t>
  </si>
  <si>
    <t>Mach 2 - 400 Amp Service 120/240 Volt 3 Phase Hi-Leg Delta Remote Aware Contacts Surge Protection Device (SPD) Single-Element (SE) Design Technology</t>
  </si>
  <si>
    <t>Mach 2 - 400 Amp Service 480 Volt 3 Phase Circuit Delta Surge Protection Device (SPD) Single-Element (SE) Design Technology</t>
  </si>
  <si>
    <t>Mach 2 - 400 Amp Service 480 Volt 3 Phase Circuit Delta Remote Aware Contacts Surge Protection Device (SPD) Single-Element (SE) Design Technology</t>
  </si>
  <si>
    <t>Mach 2 - 400 Amp Service 277/480 Volt 3 Phase Circuit WYE Surge Protection Device (SPD) Single-Element (SE) Design Technology</t>
  </si>
  <si>
    <t>Mach 2 - 400 Amp Service 277/480 Volt 3 Phase Circuit WYE Remote Aware Contacts Surge Protection Device (SPD) Single-Element (SE) Design Technology</t>
  </si>
  <si>
    <t>Mach 2 - 400 Amp Service 600 Volt 3 Phase Circuit Delta Surge Protection Device (SPD) Single-Element (SE) Design Technology</t>
  </si>
  <si>
    <t>Mach 2 - 400 Amp Service 600 Volt 3 Phase Circuit Delta Remote Aware Contacts Surge Protection Device (SPD) Single-Element (SE) Design Technology</t>
  </si>
  <si>
    <t>Mach 2 - 400 Amp Service 347/600 Volt 3 Phase Circuit WYE Surge Protection Device (SPD) Single-Element (SE) Design Technology</t>
  </si>
  <si>
    <t>Mach 2 - 400 Amp Service 347/600 Volt 3 Phase Circuit WYE Remote Aware Contacts Surge Protection Device (SPD) Single-Element (SE) Design Technology</t>
  </si>
  <si>
    <t>Mach 2 - 400 Amp Service 120/240 Volt 1 Phase Circuit Surge Protection Device (SPD) For Residential, Commercial, Industrial Grade, Single-Element (SE) Design Technology (For IEEE Category B &amp; C Locations)</t>
  </si>
  <si>
    <t>Mach 2 - 400 Amp Service 120/240 Volt 1 Phase Circuit Remote Aware Contacts Surge Protection Device (SPD) For Residential, Commercial, Industrial Grade, Single-Element (SE) Design Technology (For IEEE Category B &amp; C Locations)</t>
  </si>
  <si>
    <t>Mach 2 - 400 Amp Service 120/208 Volt 3 Phase Circuit WYE Surge Protection Device (SPD) For Residential, Commercial, Industrial Grade, Single-Element (SE) Design Technology (For IEEE Category B &amp; C Locations)</t>
  </si>
  <si>
    <t>Mach 2 - 400 Amp Service 120/208 Volt 3 Phase Circuit WYE Remote Aware Contacts Surge Protection Device (SPD) For Residential, Commercial, Industrial Grade, Single-Element (SE) Design Technology (For IEEE Category B &amp; C Locations)</t>
  </si>
  <si>
    <t>Mach 2 - 400 Amp Service 240 Volt 3 Phase Circuit Delta Surge Protection Device (SPD) For Residential, Commercial, Industrial Grade, Single-Element (SE) Design Technology (For IEEE Category B &amp; C Locations)</t>
  </si>
  <si>
    <t>Mach 2 - 400 Amp Service 240 Volt 3 Phase Circuit Delta Remote Aware Contacts Surge Protection Device (SPD) For Residential, Commercial, Industrial Grade, Single-Element (SE) Design Technology (For IEEE Category B &amp; C Locations)</t>
  </si>
  <si>
    <t>Mach 2 - 400 Amp Service 120/240 Volt 3 Phase Hi-Leg Delta Surge Protection Device (SPD) For Residential, Commercial, Industrial Grade, Single-Element (SE) Design Technology (For IEEE Category B &amp; C Locations)</t>
  </si>
  <si>
    <t>Mach 2 - 400 Amp Service 120/240 Volt 3 Phase Hi-Leg Delta Remote Aware Contacts Surge Protection Device (SPD) For Residential, Commercial, Industrial Grade, Single-Element (SE) Design Technology (For IEEE Category B &amp; C Locations)</t>
  </si>
  <si>
    <t>Mach 2 - 400 Amp Service 480 Volt 3 Phase Circuit Delta Surge Protection Device (SPD) For Residential, Commercial, Industrial Grade, Single-Element (SE) Design Technology (For IEEE Category B &amp; C Locations)</t>
  </si>
  <si>
    <t>Mach 2 - 400 Amp Service 480 Volt 3 Phase Circuit Delta Remote Aware Contacts Surge Protection Device (SPD) For Residential, Commercial, Industrial Grade, Single-Element (SE) Design Technology (For IEEE Category B &amp; C Locations)</t>
  </si>
  <si>
    <t>Mach 2 - 400 Amp Service 277/480 Volt 3 Phase Circuit WYE Surge Protection Device (SPD) For Residential, Commercial, Industrial Grade, Single-Element (SE) Design Technology (For IEEE Category B &amp; C Locations)</t>
  </si>
  <si>
    <t>Mach 2 - 400 Amp Service 277/480 Volt 3 Phase Circuit WYE Remote Aware Contacts Surge Protection Device (SPD) For Residential, Commercial, Industrial Grade, Single-Element (SE) Design Technology (For IEEE Category B &amp; C Locations)</t>
  </si>
  <si>
    <t>Mach 2 - 400 Amp Service 600 Volt 3 Phase Circuit Delta Surge Protection Device (SPD) For Residential, Commercial, Industrial Grade, Single-Element (SE) Design Technology (For IEEE Category B &amp; C Locations)</t>
  </si>
  <si>
    <t>Mach 2 - 400 Amp Service 600 Volt 3 Phase Circuit Delta Remote Aware Contacts Surge Protection Device (SPD) For Residential, Commercial, Industrial Grade, Single-Element (SE) Design Technology (For IEEE Category B &amp; C Locations)</t>
  </si>
  <si>
    <t>Mach 2 - 400 Amp Service 347/600 Volt 3 Phase Circuit WYE Surge Protection Device (SPD) For Residential, Commercial, Industrial Grade, Single-Element (SE) Design Technology (For IEEE Category B &amp; C Locations)</t>
  </si>
  <si>
    <t>Mach 2 - 400 Amp Service 347/600 Volt 3 Phase Circuit WYE Remote Aware Contacts Surge Protection Device (SPD) For Residential, Commercial, Industrial Grade, Single-Element (SE) Design Technology (For IEEE Category B &amp; C Locations)</t>
  </si>
  <si>
    <t>Mach 3 - 400 Amp Service 120/240 Volt 1 Phase Circuit Surge Protection Device (SPD) Single-Element (SE) Design Technology Featuring AST (Active Sinewave Tracking)</t>
  </si>
  <si>
    <t>Mach 3 - 400 Amp Service 120/240 Volt 1 Phase Circuit Remote Aware Contacts Surge Protection Device (SPD) Single-Element (SE) Design Technology Featuring AST (Active Sinewave Tracking)</t>
  </si>
  <si>
    <t>Mach 3 - 400 Amp Service 120/208 Volt 3 Phase Circuit WYE Surge Protection Device (SPD) Single-Element (SE) Design Technology Featuring AST (Active Sinewave Tracking)</t>
  </si>
  <si>
    <t>Mach 3 - 400 Amp Service 120/208 Volt 3 Phase Circuit WYE Remote Aware Contacts Surge Protection Device (SPD) Single-Element (SE) Design Technology Featuring AST (Active Sinewave Tracking)</t>
  </si>
  <si>
    <t>Mach 3 - 400 Amp Service 120/240 Volt 3 Phase Hi-Leg Delta Surge Protection Device (SPD) Single-Element (SE) Design Technology Featuring AST (Active Sinewave Tracking)</t>
  </si>
  <si>
    <t>Mach 3 - 400 Amp Service 120/240 Volt 3 Phase Hi-Leg Delta Remote Aware Contacts Surge Protection Device (SPD) Single-Element (SE) Design Technology Featuring AST (Active Sinewave Tracking)</t>
  </si>
  <si>
    <t>Mach 3 - 400 Amp Service 277/480 Volt 3 Phase Circuit WYE Surge Protection Device (SPD) Single-Element (SE) Design Technology Featuring AST (Active Sinewave Tracking)</t>
  </si>
  <si>
    <t>Mach 3 - 400 Amp Service 277/480 Volt 3 Phase Circuit WYE Remote Aware Contacts Surge Protection Device (SPD) Single-Element (SE) Design Technology Featuring AST (Active Sinewave Tracking)</t>
  </si>
  <si>
    <t>Mach 3 - 400 Amp Service 120/240 Volt 1 Phase Circuit Surge Protection Device (SPD) For Residential, Commercial, Industrial Grade, Single-Element (SE) Design Technology Featuring AST (Active Sinewave Tracking) (For IEEE Category B &amp; C Locations)</t>
  </si>
  <si>
    <t>Mach 3 - 400 Amp Service 120/240 Volt 1 Phase Circuit Remote Aware Contacts Surge Protection Device (SPD) For Residential, Commercial, Industrial Grade, Single-Element (SE) Design Technology Featuring AST (Active Sinewave Tracking) (For IEEE Category B &amp; C Locations)</t>
  </si>
  <si>
    <t>Mach 3 - 400 Amp Service 120/208 Volt 3 Phase Circuit WYE Surge Protection Device (SPD) For Residential, Commercial, Industrial Grade, Single-Element (SE) Design Technology Featuring AST (Active Sinewave Tracking) (For IEEE Category B &amp; C Locations)</t>
  </si>
  <si>
    <t>Mach 3 - 400 Amp Service 120/208 Volt 3 Phase Circuit WYE Remote Aware Contacts Surge Protection Device (SPD) For Residential, Commercial, Industrial Grade, Single-Element (SE) Design Technology Featuring AST (Active Sinewave Tracking) (For IEEE Category B &amp; C Locations)</t>
  </si>
  <si>
    <t>Mach 3 - 400 Amp Service 120/240 Volt 3 Phase Hi-Leg Delta Surge Protection Device (SPD) For Residential, Commercial, Industrial Grade, Single-Element (SE) Design Technology Featuring AST (Active Sinewave Tracking) (For IEEE Category B &amp; C Locations)</t>
  </si>
  <si>
    <t>Mach 3 - 400 Amp Service 120/240 Volt 3 Phase Hi-Leg Delta Remote Aware Contacts Surge Protection Device (SPD) For Residential, Commercial, Industrial Grade, Single-Element (SE) Design Technology Featuring AST (Active Sinewave Tracking) (For IEEE Category B &amp; C Locations)</t>
  </si>
  <si>
    <t>Mach 3 - 400 Amp Service 277/480 Volt 3 Phase Circuit WYE Surge Protection Device (SPD) For Residential, Commercial, Industrial Grade, Single-Element (SE) Design Technology Featuring AST (Active Sinewave Tracking) (For IEEE Category B &amp; C Locations)</t>
  </si>
  <si>
    <t>Mach 3 - 400 Amp Service 277/480 Volt 3 Phase Circuit WYE Remote Aware Contacts Surge Protection Device (SPD) For Residential, Commercial, Industrial Grade, Single-Element (SE) Design Technology Featuring AST (Active Sinewave Tracking) (For IEEE Category B &amp; C Locations)</t>
  </si>
  <si>
    <t>Mach 4 - 800 Amp Service 120/240 Volt 1 Phase Circuit Surge Protection Device (SPD) Single-Element (SE) Design Technology</t>
  </si>
  <si>
    <t>Mach 4 - 800 Amp Service 120/240 Volt 1 Phase Circuit Remote Aware Contacts Surge Protection Device (SPD) Single-Element (SE) Design Technology</t>
  </si>
  <si>
    <t>Mach 4 - 800 Amp Service 120/208 Volt 3 Phase Circuit WYE Surge Protection Device (SPD) Single-Element (SE) Design Technology</t>
  </si>
  <si>
    <t>Mach 4 - 800 Amp Service 120/208 Volt 3 Phase Circuit WYE Remote Aware Contacts Surge Protection Device (SPD) Single-Element (SE) Design Technology</t>
  </si>
  <si>
    <t>Mach 4 - 800 Amp Service 240 Volt 3 Phase Circuit Delta Surge Protection Device (SPD) Single-Element (SE) Design Technology</t>
  </si>
  <si>
    <t>Mach 4 - 800 Amp Service 240 Volt 3 Phase Circuit Delta Remote Aware Contacts Surge Protection Device (SPD) Single-Element (SE) Design Technology</t>
  </si>
  <si>
    <t>Mach 4 - 800 Amp Service 120/240 Volt 3 Phase Hi-Leg DeltaSurge Protection Device (SPD) Single-Element (SE) Design Technology</t>
  </si>
  <si>
    <t>Mach 4 - 800 Amp Service 120/240 Volt 3 Phase Hi-Leg Delta Remote Aware Contacts Surge Protection Device (SPD) Single-Element (SE) Design Technology</t>
  </si>
  <si>
    <t>Mach 4 - 800 Amp Service 480 Volt 3 Phase Circuit Delta Surge Protection Device (SPD) Single-Element (SE) Design Technology</t>
  </si>
  <si>
    <t>Mach 4 - 800 Amp Service 480 Volt 3 Phase Circuit Delta Remote Aware Contacts Surge Protection Device (SPD) Single-Element (SE) Design Technology</t>
  </si>
  <si>
    <t>Mach 4 - 800 Amp Service 277/480 Volt 3 Phase Circuit WYE Surge Protection Device (SPD) Single-Element (SE) Design Technology</t>
  </si>
  <si>
    <t>Mach 4 - 800 Amp Service 277/480 Volt 3 Phase Circuit WYE Remote Aware Contacts Surge Protection Device (SPD) Single-Element (SE) Design Technology</t>
  </si>
  <si>
    <t>Mach 4 - 800 Amp Service 600 Volt 3 Phase Circuit Delta Surge Protection Device (SPD) Single-Element (SE) Design Technology</t>
  </si>
  <si>
    <t>Mach 4 - 800 Amp Service 600 Volt 3 Phase Circuit Delta Remote Aware Contacts Surge Protection Device (SPD) Single-Element (SE) Design Technology</t>
  </si>
  <si>
    <t>Mach 4 - 800 Amp Service 347/600 Volt 3 Phase Circuit WYE Surge Protection Device (SPD) Single-Element (SE) Design Technology</t>
  </si>
  <si>
    <t>Mach 4 - 800 Amp Service 347/600 Volt 3 Phase Circuit WYE Remote Aware Contacts Surge Protection Device (SPD) Single-Element (SE) Design Technology</t>
  </si>
  <si>
    <t>Mach 4 - 800 Amp Service 120/240 Volt 1 Phase Circuit Surge Protection Device (SPD) For Residential, Commercial, Industrial Grade, Single-Element (SE) Design Technology (For IEEE Category B &amp; C Locations)</t>
  </si>
  <si>
    <t>Mach 4 - 800 Amp Service 120/240 Volt 1 Phase Circuit Remote Aware Contacts Surge Protection Device (SPD) For Residential, Commercial, Industrial Grade, Single-Element (SE) Design Technology (For IEEE Category B &amp; C Locations)</t>
  </si>
  <si>
    <t>Mach 4 - 800 Amp Service 120/208 Volt 3 Phase Circuit WYE Surge Protection Device (SPD) For Residential, Commercial, Industrial Grade, Single-Element (SE) Design Technology (For IEEE Category B &amp; C Locations)</t>
  </si>
  <si>
    <t>Mach 4 - 800 Amp Service 120/208 Volt 3 Phase Circuit WYE Remote Aware Contacts Surge Protection Device (SPD) For Residential, Commercial, Industrial Grade, Single-Element (SE) Design Technology (For IEEE Category B &amp; C Locations)</t>
  </si>
  <si>
    <t>Mach 4 - 800 Amp Service 240 Volt 3 Phase Circuit Delta Surge Protection Device (SPD) For Residential, Commercial, Industrial Grade, Single-Element (SE) Design Technology (For IEEE Category B &amp; C Locations)</t>
  </si>
  <si>
    <t>Mach 4 - 800 Amp Service 240 Volt 3 Phase Circuit Delta Remote Aware Contacts Surge Protection Device (SPD) For Residential, Commercial, Industrial Grade, Single-Element (SE) Design Technology (For IEEE Category B &amp; C Locations)</t>
  </si>
  <si>
    <t>Mach 4 - 800 Amp Service 120/240 Volt 3 Phase Hi-Leg DeltaSurge Protection Device (SPD) For  Residential, Commercial, Industrial Grade, Single-Element (SE) Design Technology (For IEEE Category B &amp; C Locations)</t>
  </si>
  <si>
    <t>Mach 4 - 800 Amp Service 120/240 Volt 3 Phase Hi-Leg Delta Remote Aware Contacts Surge Protection Device (SPD) For Residential, Commercial, Industrial Grade, Single-Element (SE) Design Technology (For IEEE Category B &amp; C Locations)</t>
  </si>
  <si>
    <t>Mach 4 - 800 Amp Service 480 Volt 3 Phase Circuit Delta Surge Protection Device (SPD) For Residential, Commercial, Industrial Grade, Single-Element (SE) Design Technology (For IEEE Category B &amp; C Locations)</t>
  </si>
  <si>
    <t>Mach 4 - 800 Amp Service 480 Volt 3 Phase Circuit Delta Remote Aware Contacts Surge Protection Device (SPD) For Residential, Commercial, Industrial Grade, Single-Element (SE) Design Technology (For IEEE Category B &amp; C Locations)</t>
  </si>
  <si>
    <t>Mach 4 - 800 Amp Service 277/480 Volt 3 Phase Circuit WYE Surge Protection Device (SPD) For Residential, Commercial, Industrial Grade, Single-Element (SE) Design Technology (For IEEE Category B &amp; C Locations)</t>
  </si>
  <si>
    <t>Mach 4 - 800 Amp Service 277/480 Volt 3 Phase Circuit WYE Remote Aware Contacts Surge Protection Device (SPD) For Residential, Commercial, Industrial Grade, Single-Element (SE) Design Technology (For IEEE Category B &amp; C Locations)</t>
  </si>
  <si>
    <t>Mach 4 - 800 Amp Service 600 Volt 3 Phase Circuit Delta Surge Protection Device (SPD) For Residential, Commercial, Industrial Grade, Single-Element (SE) Design Technology (For IEEE Category B &amp; C Locations)</t>
  </si>
  <si>
    <t>Mach 4 - 800 Amp Service 600 Volt 3 Phase Circuit Delta Remote Aware Contacts Surge Protection Device (SPD) For Residential, Commercial, Industrial Grade, Single-Element (SE) Design Technology (For IEEE Category B &amp; C Locations)</t>
  </si>
  <si>
    <t>Mach 4 - 800 Amp Service 347/600 Volt 3 Phase Circuit WYE Surge Protection Device (SPD) For Residential, Commercial, Industrial Grade, Single-Element (SE) Design Technology (For IEEE Category B &amp; C Locations)</t>
  </si>
  <si>
    <t>Mach 4 - 800 Amp Service 347/600 Volt 3 Phase Circuit WYE Remote Aware Contacts Surge Protection Device (SPD) For Residential, Commercial, Industrial Grade, Single-Element (SE) Design Technology (For IEEE Category B &amp; C Locations)</t>
  </si>
  <si>
    <t>Mach 5 - 2500 Amp Service 120/240 Volt 1 Phase Circuit Surge Protection Device (SPD) Single-Element (SE) Design Technology</t>
  </si>
  <si>
    <t>Mach 5 - 2500 Amp Service 120/240 Volt 1 Phase Circuit Remote Aware Contacts Surge Protection Device (SPD) Single-Element (SE) Design Technology</t>
  </si>
  <si>
    <t>Mach 5 - 2500 Amp Service 120/208 Volt 3 Phase Circuit WYE Surge Protection Device (SPD) Single-Element (SE) Design Technology</t>
  </si>
  <si>
    <t>Mach 5 - 2500 Amp Service 120/208 Volt 3 Phase Circuit WYE Remote Aware Contacts Surge Protection Device (SPD) Single-Element (SE) Design Technology</t>
  </si>
  <si>
    <t>Mach 5 - 2500 Amp Service 240 Volt 3 Phase Circuit Delta Surge Protection Device (SPD) Single-Element (SE) Design Technology</t>
  </si>
  <si>
    <t>Mach 5 - 2500 Amp Service 240 Volt 3 Phase Circuit Delta Remote Aware Contacts Surge Protection Device (SPD) Single-Element (SE) Design Technology</t>
  </si>
  <si>
    <t>Mach 5 - 2500 Amp Service 120/240 Volt 3 Phase Hi-Leg Delta Surge Protection Device (SPD) Single-Element (SE) Design Technology</t>
  </si>
  <si>
    <t>Mach 5 - 2500 Amp Service 120/240 Volt 3 Phase Hi-Leg Delta Remote Aware Contacts Surge Protection Device (SPD) Single-Element (SE) Design Technology</t>
  </si>
  <si>
    <t>Mach 5 - 2500 Amp Service 480 Volt 3 Phase Circuit Delta Surge Protection Device (SPD) Single-Element (SE) Design Technology</t>
  </si>
  <si>
    <t>Mach 5 - 2500 Amp Service 480 Volt 3 Phase Circuit Delta Remote Aware Contacts Surge Protection Device (SPD) Single-Element (SE) Design Technology</t>
  </si>
  <si>
    <t>Mach 5 - 2500 Amp Service 277/480 Volt 3 Phase Circuit WYE Surge Protection Device (SPD) Single-Element (SE) Design Technology</t>
  </si>
  <si>
    <t>Mach 5 - 2500 Amp Service 277/480 Volt 3 Phase Circuit WYE Remote Aware Contacts Surge Protection Device (SPD) Single-Element (SE) Design Technology</t>
  </si>
  <si>
    <t>Mach 5 - 2500 Amp Service 600 Volt 3 Phase Circuit Delta Surge Protection Device (SPD) Single-Element (SE) Design Technology</t>
  </si>
  <si>
    <t>Mach 5 - 2500 Amp Service 600 Volt 3 Phase Circuit Delta Remote Aware Contacts Surge Protection Device (SPD) Single-Element (SE) Design Technology</t>
  </si>
  <si>
    <t>Mach 5 - 2500 Amp Service 347/600 Volt 3 Phase Circuit WYE Surge Protection Device (SPD) Single-Element (SE) Design Technology</t>
  </si>
  <si>
    <t>Mach 5 - 2500 Amp Service 347/600 Volt 3 Phase Circuit WYE Remote Aware Contacts Surge Protection Device (SPD) Single-Element (SE) Design Technology</t>
  </si>
  <si>
    <t>Mach 5 - 2500 Amp Service 120/240 Volt 1 Phase Circuit Surge Protection Device (SPD) For Residential, Commercial, Industrial Grade, Single-Element (SE) Design Technology (For IEEE Category B &amp; C Locations)</t>
  </si>
  <si>
    <t>Mach 5 - 2500 Amp Service 120/240 Volt 1 Phase Circuit Remote Aware Contacts Surge Protection Device (SPD) For Residential, Commercial, Industrial Grade, Single-Element (SE) Design Technology (For IEEE Category B &amp; C Locations)</t>
  </si>
  <si>
    <t>Mach 5 - 2500 Amp Service 120/208 Volt 3 Phase Circuit WYE Surge Protection Device (SPD) For Residential, Commercial, Industrial Grade, Single-Element (SE) Design Technology (For IEEE Category B &amp; C Locations)</t>
  </si>
  <si>
    <t>Mach 5 - 2500 Amp Service 120/208 Volt 3 Phase Circuit WYE Remote Aware Contacts Surge Protection Device (SPD) For Residential, Commercial, Industrial Grade, Single-Element (SE) Design Technology (For IEEE Category B &amp; C Locations)</t>
  </si>
  <si>
    <t>Mach 5 - 2500 Amp Service 240 Volt 3 Phase Circuit Delta Surge Protection Device (SPD) For Residential, Commercial, Industrial Grade, Single-Element (SE) Design Technology (For IEEE Category B &amp; C Locations)</t>
  </si>
  <si>
    <t>Mach 5 - 2500 Amp Service 240 Volt 3 Phase Circuit Delta Remote Aware Contacts Surge Protection Device (SPD) For Residential, Commercial, Industrial Grade, Single-Element (SE) Design Technology (For IEEE Category B &amp; C Locations)</t>
  </si>
  <si>
    <t>Mach 5 - 2500 Amp Service 120/240 Volt 3 Phase Hi-Leg Delta Surge Protection Device (SPD) For Residential, Commercial, Industrial Grade, Single-Element (SE) Design Technology (For IEEE Category B &amp; C Locations)</t>
  </si>
  <si>
    <t>Mach 5 - 2500 Amp Service 120/240 Volt 3 Phase Hi-Leg Delta Remote Aware Contacts Surge Protection Device (SPD) For Residential, Commercial, Industrial Grade, Single-Element (SE) Design Technology (For IEEE Category B &amp; C Locations)</t>
  </si>
  <si>
    <t>Mach 5 - 2500 Amp Service 480 Volt 3 Phase Circuit Delta Surge Protection Device (SPD) For Residential, Commercial, Industrial Grade, Single-Element (SE) Design Technology (For IEEE Category B &amp; C Locations)</t>
  </si>
  <si>
    <t>Mach 5 - 2500 Amp Service 480 Volt 3 Phase Circuit Delta Remote Aware Contacts Surge Protection Device (SPD) For Residential, Commercial, Industrial Grade, Single-Element (SE) Design Technology (For IEEE Category B &amp; C Locations)</t>
  </si>
  <si>
    <t>Mach 5 - 2500 Amp Service 277/480 Volt 3 Phase Circuit WYE Surge Protection Device (SPD) For Residential, Commercial, Industrial Grade, Single-Element (SE) Design Technology (For IEEE Category B &amp; C Locations)</t>
  </si>
  <si>
    <t>Mach 5 - 2500 Amp Service 277/480 Volt 3 Phase Circuit WYE Remote Aware Contacts Surge Protection Device (SPD) For Residential, Commercial, Industrial Grade, Single-Element (SE) Design Technology (For IEEE Category B &amp; C Locations)</t>
  </si>
  <si>
    <t>Mach 5 - 2500 Amp Service 600 Volt 3 Phase Circuit Delta Surge Protection Device (SPD) For Residential, Commercial, Industrial Grade, Single-Element (SE) Design Technology (For IEEE Category B &amp; C Locations)</t>
  </si>
  <si>
    <t>Mach 5 - 2500 Amp Service 600 Volt 3 Phase Circuit Delta Remote Aware Contacts Surge Protection Device (SPD) For Residential, Commercial, Industrial Grade, Single-Element (SE) Design Technology (For IEEE Category B &amp; C Locations)</t>
  </si>
  <si>
    <t>Mach 5 - 2500 Amp Service 347/600 Volt 3 Phase Circuit WYE Surge Protection Device (SPD) For Residential, Commercial, Industrial Grade, Single-Element (SE) Design Technology (For IEEE Category B &amp; C Locations)</t>
  </si>
  <si>
    <t>Mach 5 - 2500 Amp Service 347/600 Volt 3 Phase Circuit WYE Remote Aware Contacts Surge Protection Device (SPD) For Residential, Commercial, Industrial Grade, Single-Element (SE) Design Technology (For IEEE Category B &amp; C Locations)</t>
  </si>
  <si>
    <t>Mach 6 - 6000 Amp Service 120/240 Volt 1 Phase Circuit Surge Protection Device (SPD) Single-Element (SE) Design Technology</t>
  </si>
  <si>
    <t>Mach 6 - 6000 Amp Service 120/240 Volt 1 Phase Circuit Remote Aware Contacts Surge Protection Device (SPD) Single-Element (SE) Design Technology</t>
  </si>
  <si>
    <t>Mach 6 - 6000 Amp Service 120/208 Volt 3 Phase Circuit WYE Surge Protection Device (SPD) Single-Element (SE) Design Technology</t>
  </si>
  <si>
    <t>Mach 6 - 6000 Amp Service 120/208 Volt 3 Phase Circuit WYE Remote Aware Contacts Surge Protection Device (SPD) Single-Element (SE) Design Technology</t>
  </si>
  <si>
    <t>Mach 6 - 6000 Amp Service 240 Volt 3 Phase Circuit Delta Surge Protection Device (SPD) Single-Element (SE) Design Technology</t>
  </si>
  <si>
    <t>Mach 6 - 6000 Amp Service 240 Volt 3 Phase Circuit Delta Remote Aware Contacts Surge Protection Device (SPD) Single-Element (SE) Design Technology</t>
  </si>
  <si>
    <t>Mach 6 - 6000 Amp Service 120/240 Volt 3 Phase Hi-Leg Delta Surge Protection Device (SPD) Single-Element (SE) Design Technology</t>
  </si>
  <si>
    <t>Mach 6 - 6000 Amp Service 120/240 Volt 3 Phase Hi-Leg Delta Remote Aware Contacts Surge Protection Device (SPD) Single-Element (SE) Design Technology</t>
  </si>
  <si>
    <t>Mach 6 - 6000 Amp Service 480 Volt 3 Phase Circuit Delta Surge Protection Device (SPD) Single-Element (SE) Design Technology</t>
  </si>
  <si>
    <t>Mach 6 - 6000 Amp Service 480 Volt 3 Phase Circuit Delta Remote Aware Contacts Surge Protection Device (SPD) Single-Element (SE) Design Technology</t>
  </si>
  <si>
    <t>Mach 6 - 6000 Amp Service 277/480 Volt 3 Phase Circuit WYE Surge Protection Device (SPD) Single-Element (SE) Design Technology</t>
  </si>
  <si>
    <t>Mach 6 - 6000 Amp Service 277/480 Volt 3 Phase Circuit WYE Remote Aware Contacts Surge Protection Device (SPD) Single-Element (SE) Design Technology</t>
  </si>
  <si>
    <t>Mach 6 - 6000 Amp Service 600 Volt 3 Phase Circuit Delta Surge Protection Device (SPD) Single-Element (SE) Design Technology</t>
  </si>
  <si>
    <t>Mach 6 - 6000 Amp Service 600 Volt 3 Phase Circuit Delta Remote Aware Contacts Surge Protection Device (SPD) Single-Element (SE) Design Technology</t>
  </si>
  <si>
    <t>Mach 6 - 6000 Amp Service 347/600 Volt 3 Phase Circuit WYE Surge Protection Device (SPD) Single-Element (SE) Design Technology</t>
  </si>
  <si>
    <t>Mach 6 - 6000 Amp Service 347/600 Volt 3 Phase Circuit WYE Remote Aware Contacts Surge Protection Device (SPD) Single-Element (SE) Design Technology</t>
  </si>
  <si>
    <t>Mach 6 - 6000 Amp Service 120/240 Volt 1 Phase Circuit Surge Protection Device (SPD) For Residential, Commercial, Industrial Grade, Single-Element (SE) Design Technology (For IEEE Category B &amp; C Locations)</t>
  </si>
  <si>
    <t>Mach 6 - 6000 Amp Service 120/240 Volt 1 Phase Circuit Remote Aware Contacts Surge Protection Device (SPD) For Residential, Commercial, Industrial Grade, Single-Element (SE) Design Technology (For IEEE Category B &amp; C Locations)</t>
  </si>
  <si>
    <t>Mach 6 - 6000 Amp Service 120/208 Volt 3 Phase Circuit WYE Surge Protection Device (SPD) For Residential, Commercial, Industrial Grade, Single-Element (SE) Design Technology (For IEEE Category B &amp; C Locations)</t>
  </si>
  <si>
    <t>Mach 6 - 6000 Amp Service 120/208 Volt 3 Phase Circuit WYE Remote Aware Contacts Surge Protection Device (SPD) For Residential, Commercial, Industrial Grade, Single-Element (SE) Design Technology (For IEEE Category B &amp; C Locations)</t>
  </si>
  <si>
    <t>Mach 6 - 6000 Amp Service 240 Volt 3 Phase Circuit Delta Surge Protection Device (SPD) For Residential, Commercial, Industrial Grade, Single-Element (SE) Design Technology (For IEEE Category B &amp; C Locations)</t>
  </si>
  <si>
    <t>Mach 6 - 6000 Amp Service 240 Volt 3 Phase Circuit Delta Remote Aware Contacts Surge Protection Device (SPD) For Residential, Commercial, Industrial Grade, Single-Element (SE) Design Technology (For IEEE Category B &amp; C Locations)</t>
  </si>
  <si>
    <t>Mach 6 - 6000 Amp Service 120/240 Volt 3 Phase Hi-Leg Delta Surge Protection Device (SPD) For Residential, Commercial, Industrial Grade, Single-Element (SE) Design Technology (For IEEE Category B &amp; C Locations)</t>
  </si>
  <si>
    <t>Mach 6 - 6000 Amp Service 120/240 Volt 3 Phase Hi-Leg Delta Remote Aware Contacts Surge Protection Device (SPD) For Residential, Commercial, Industrial Grade, Single-Element (SE) Design Technology (For IEEE Category B &amp; C Locations)</t>
  </si>
  <si>
    <t>Mach 6 - 6000 Amp Service 480 Volt 3 Phase Circuit Delta Surge Protection Device (SPD) For Residential, Commercial, Industrial Grade, Single-Element (SE) Design Technology (For IEEE Category B &amp; C Locations)</t>
  </si>
  <si>
    <t>Mach 6 - 6000 Amp Service 480 Volt 3 Phase Circuit Delta Remote Aware Contacts Surge Protection Device (SPD) For Residential, Commercial, Industrial Grade, Single-Element (SE) Design Technology (For IEEE Category B &amp; C Locations)</t>
  </si>
  <si>
    <t>Mach 6 - 6000 Amp Service 277/480 Volt 3 Phase Circuit WYE Surge Protection Device (SPD) For Residential, Commercial, Industrial Grade, Single-Element (SE) Design Technology (For IEEE Category B &amp; C Locations)</t>
  </si>
  <si>
    <t>Mach 6 - 6000 Amp Service 277/480 Volt 3 Phase Circuit WYE Remote Aware Contacts Surge Protection Device (SPD) For Residential, Commercial, Industrial Grade, Single-Element (SE) Design Technology (For IEEE Category B &amp; C Locations)</t>
  </si>
  <si>
    <t>Mach 6 - 6000 Amp Service 600 Volt 3 Phase Circuit Delta Surge Protection Device (SPD) For Residential, Commercial, Industrial Grade, Single-Element (SE) Design Technology (For IEEE Category B &amp; C Locations)</t>
  </si>
  <si>
    <t>Mach 6 - 6000 Amp Service 600 Volt 3 Phase Circuit Delta Remote Aware Contacts Surge Protection Device (SPD) For Residential, Commercial, Industrial Grade, Single-Element (SE) Design Technology (For IEEE Category B &amp; C Locations)</t>
  </si>
  <si>
    <t>Mach 6 - 6000 Amp Service 347/600 Volt 3 Phase Circuit WYE Surge Protection Device (SPD) For Residential, Commercial, Industrial Grade, Single-Element (SE) Design Technology (For IEEE Category B &amp; C Locations)</t>
  </si>
  <si>
    <t>Mach 6 - 6000 Amp Service 347/600 Volt 3 Phase Circuit WYE Remote Aware Contacts Surge Protection Device (SPD) For Residential, Commercial, Industrial Grade, Single-Element (SE) Design Technology (For IEEE Category B &amp; C Locations)</t>
  </si>
  <si>
    <t>https://static.wixstatic.com/media/866c55_b7a4248471bd49c8ad71f8c036f4db2d~mv2.png/v1/fill/w_315,h_600,al_c,q_85,usm_0.66_1.00_0.01,enc_avif,quality_auto/866c55_b7a4248471bd49c8ad71f8c036f4db2d~mv2.png</t>
  </si>
  <si>
    <t>https://www.surgepure.com/_files/ugd/866c55_505ec3b165db4529b4fdcebb2a24b8db.pdf</t>
  </si>
  <si>
    <t>https://static.wixstatic.com/media/866c55_057e72d3e56e42c7889cba22150f8556~mv2.png/v1/fill/w_286,h_600,al_c,q_85,usm_0.66_1.00_0.01,enc_avif,quality_auto/866c55_057e72d3e56e42c7889cba22150f8556~mv2.png</t>
  </si>
  <si>
    <t>https://www.surgepure.com/_files/ugd/866c55_4efbc8735b37482680c16ea1608cd535.pdf</t>
  </si>
  <si>
    <t>https://static.wixstatic.com/media/866c55_1654fc7e317d4d87988fc0f8dd7318df~mv2.jpg/v1/fill/w_400,h_632,al_c,q_80,usm_0.66_1.00_0.01,enc_avif,quality_auto/Mach%203_single_ph%20_model.jpg</t>
  </si>
  <si>
    <t>https://www.surgepure.com/_files/ugd/866c55_33c48ee74dd04329866167bd4725efb7.pdf</t>
  </si>
  <si>
    <t>https://static.wixstatic.com/media/866c55_bece942af92f40f18d972e8b38f1da79~mv2.png/v1/fill/w_380,h_600,al_c,q_85,usm_0.66_1.00_0.01,enc_avif,quality_auto/866c55_bece942af92f40f18d972e8b38f1da79~mv2.png</t>
  </si>
  <si>
    <t>https://www.surgepure.com/_files/ugd/866c55_043f138ad818405f9e1b872f4abdd195.pdf</t>
  </si>
  <si>
    <t>https://static.wixstatic.com/media/866c55_2bb4cfd91ea94b98bf1feb1ff2a11e93~mv2.jpg/v1/fill/w_493,h_735,al_c,q_85,usm_0.66_1.00_0.01,enc_avif,quality_auto/Mach%205.jpg</t>
  </si>
  <si>
    <t>https://www.surgepure.com/_files/ugd/866c55_7963cd3063b24cdab3fe47c0cc09d480.pdf</t>
  </si>
  <si>
    <t>https://static.wixstatic.com/media/866c55_294da6c622474346966e4ddfe92d31fa~mv2.jpg/v1/fill/w_565,h_809,al_c,q_85,usm_0.66_1.00_0.01,enc_avif,quality_auto/Mach%206.jpg</t>
  </si>
  <si>
    <t>https://www.surgepure.com/_files/ugd/866c55_45b12ba86ad44cf7a1d8c5b01be34585.pdf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</si>
</sst>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0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6" fillId="0" borderId="0"/>
    <xf numFmtId="0" fontId="1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wrapText="1"/>
    </xf>
    <xf numFmtId="0" fontId="4" fillId="0" borderId="0" xfId="0" applyFont="1" applyAlignment="1">
      <alignment horizontal="left"/>
    </xf>
    <xf numFmtId="0" fontId="7" fillId="0" borderId="0" xfId="2" applyFont="1" applyAlignment="1">
      <alignment horizontal="left"/>
    </xf>
    <xf numFmtId="0" fontId="5" fillId="0" borderId="0" xfId="0" applyFont="1"/>
    <xf numFmtId="0" fontId="8" fillId="0" borderId="0" xfId="0" applyFont="1"/>
    <xf numFmtId="2" fontId="0" fillId="0" borderId="0" xfId="0" applyNumberFormat="1"/>
    <xf numFmtId="2" fontId="0" fillId="4" borderId="0" xfId="0" applyNumberFormat="1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9" fillId="0" borderId="0" xfId="2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2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wrapText="1"/>
    </xf>
    <xf numFmtId="165" fontId="0" fillId="0" borderId="0" xfId="0" applyNumberFormat="1" applyAlignment="1">
      <alignment horizontal="right" wrapText="1"/>
    </xf>
    <xf numFmtId="2" fontId="12" fillId="0" borderId="0" xfId="0" applyNumberFormat="1" applyFont="1" applyAlignment="1">
      <alignment horizontal="right" vertical="center" wrapText="1"/>
    </xf>
    <xf numFmtId="2" fontId="13" fillId="0" borderId="0" xfId="0" applyNumberFormat="1" applyFont="1" applyAlignment="1">
      <alignment horizontal="right" vertical="center" wrapText="1"/>
    </xf>
    <xf numFmtId="0" fontId="3" fillId="0" borderId="0" xfId="1" applyAlignment="1">
      <alignment horizontal="left" vertical="top"/>
    </xf>
  </cellXfs>
  <cellStyles count="4">
    <cellStyle name="Hyperlink" xfId="1" builtinId="8"/>
    <cellStyle name="Normal" xfId="0" builtinId="0"/>
    <cellStyle name="Normal 2" xfId="3" xr:uid="{540518D1-50A7-490F-AC45-C67C489EDFBC}"/>
    <cellStyle name="Normal 8" xfId="2" xr:uid="{AEE79087-1BCB-4379-B289-1E76FF6F22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Product%20Marketing\Ryan\AX%20Scripts\AX%20NPI%20Upload%20Template.xlsx" TargetMode="External"/><Relationship Id="rId1" Type="http://schemas.openxmlformats.org/officeDocument/2006/relationships/externalLinkPath" Target="/Product%20Marketing/Ryan/AX%20Scripts/AX%20NPI%20Upload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ynamics Enum Cache"/>
      <sheetName val="Sheet1"/>
    </sheetNames>
    <sheetDataSet>
      <sheetData sheetId="0">
        <row r="1">
          <cell r="A1" t="str">
            <v>No</v>
          </cell>
        </row>
        <row r="2">
          <cell r="A2" t="str">
            <v>Yes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surgepure.com/_files/ugd/866c55_4efbc8735b37482680c16ea1608cd535.pdf" TargetMode="External"/><Relationship Id="rId117" Type="http://schemas.openxmlformats.org/officeDocument/2006/relationships/hyperlink" Target="https://www.surgepure.com/_files/ugd/866c55_45b12ba86ad44cf7a1d8c5b01be34585.pdf" TargetMode="External"/><Relationship Id="rId21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42" Type="http://schemas.openxmlformats.org/officeDocument/2006/relationships/hyperlink" Target="https://www.surgepure.com/_files/ugd/866c55_33c48ee74dd04329866167bd4725efb7.pdf" TargetMode="External"/><Relationship Id="rId47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63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68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84" Type="http://schemas.openxmlformats.org/officeDocument/2006/relationships/hyperlink" Target="https://www.surgepure.com/_files/ugd/866c55_043f138ad818405f9e1b872f4abdd195.pdf" TargetMode="External"/><Relationship Id="rId89" Type="http://schemas.openxmlformats.org/officeDocument/2006/relationships/hyperlink" Target="https://static.wixstatic.com/media/866c55_2bb4cfd91ea94b98bf1feb1ff2a11e93~mv2.jpg/v1/fill/w_493,h_735,al_c,q_85,usm_0.66_1.00_0.01,enc_avif,quality_auto/Mach%205.jpg" TargetMode="External"/><Relationship Id="rId112" Type="http://schemas.openxmlformats.org/officeDocument/2006/relationships/hyperlink" Target="https://www.surgepure.com/_files/ugd/866c55_45b12ba86ad44cf7a1d8c5b01be34585.pdf" TargetMode="External"/><Relationship Id="rId16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107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1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32" Type="http://schemas.openxmlformats.org/officeDocument/2006/relationships/hyperlink" Target="https://www.surgepure.com/_files/ugd/866c55_4efbc8735b37482680c16ea1608cd535.pdf" TargetMode="External"/><Relationship Id="rId37" Type="http://schemas.openxmlformats.org/officeDocument/2006/relationships/hyperlink" Target="https://www.surgepure.com/_files/ugd/866c55_4efbc8735b37482680c16ea1608cd535.pdf" TargetMode="External"/><Relationship Id="rId53" Type="http://schemas.openxmlformats.org/officeDocument/2006/relationships/hyperlink" Target="https://www.surgepure.com/_files/ugd/866c55_33c48ee74dd04329866167bd4725efb7.pdf" TargetMode="External"/><Relationship Id="rId58" Type="http://schemas.openxmlformats.org/officeDocument/2006/relationships/hyperlink" Target="https://www.surgepure.com/_files/ugd/866c55_043f138ad818405f9e1b872f4abdd195.pdf" TargetMode="External"/><Relationship Id="rId74" Type="http://schemas.openxmlformats.org/officeDocument/2006/relationships/hyperlink" Target="https://www.surgepure.com/_files/ugd/866c55_043f138ad818405f9e1b872f4abdd195.pdf" TargetMode="External"/><Relationship Id="rId79" Type="http://schemas.openxmlformats.org/officeDocument/2006/relationships/hyperlink" Target="https://www.surgepure.com/_files/ugd/866c55_043f138ad818405f9e1b872f4abdd195.pdf" TargetMode="External"/><Relationship Id="rId102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23" Type="http://schemas.openxmlformats.org/officeDocument/2006/relationships/hyperlink" Target="https://www.surgepure.com/_files/ugd/866c55_45b12ba86ad44cf7a1d8c5b01be34585.pdf" TargetMode="External"/><Relationship Id="rId5" Type="http://schemas.openxmlformats.org/officeDocument/2006/relationships/hyperlink" Target="https://static.wixstatic.com/media/866c55_b7a4248471bd49c8ad71f8c036f4db2d~mv2.png/v1/fill/w_315,h_600,al_c,q_85,usm_0.66_1.00_0.01,enc_avif,quality_auto/866c55_b7a4248471bd49c8ad71f8c036f4db2d~mv2.png" TargetMode="External"/><Relationship Id="rId90" Type="http://schemas.openxmlformats.org/officeDocument/2006/relationships/hyperlink" Target="https://www.surgepure.com/_files/ugd/866c55_7963cd3063b24cdab3fe47c0cc09d480.pdf" TargetMode="External"/><Relationship Id="rId95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22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27" Type="http://schemas.openxmlformats.org/officeDocument/2006/relationships/hyperlink" Target="https://www.surgepure.com/_files/ugd/866c55_4efbc8735b37482680c16ea1608cd535.pdf" TargetMode="External"/><Relationship Id="rId43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48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64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69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113" Type="http://schemas.openxmlformats.org/officeDocument/2006/relationships/hyperlink" Target="https://www.surgepure.com/_files/ugd/866c55_45b12ba86ad44cf7a1d8c5b01be34585.pdf" TargetMode="External"/><Relationship Id="rId118" Type="http://schemas.openxmlformats.org/officeDocument/2006/relationships/hyperlink" Target="https://www.surgepure.com/_files/ugd/866c55_45b12ba86ad44cf7a1d8c5b01be34585.pdf" TargetMode="External"/><Relationship Id="rId80" Type="http://schemas.openxmlformats.org/officeDocument/2006/relationships/hyperlink" Target="https://www.surgepure.com/_files/ugd/866c55_043f138ad818405f9e1b872f4abdd195.pdf" TargetMode="External"/><Relationship Id="rId85" Type="http://schemas.openxmlformats.org/officeDocument/2006/relationships/hyperlink" Target="https://www.surgepure.com/_files/ugd/866c55_043f138ad818405f9e1b872f4abdd195.pdf" TargetMode="External"/><Relationship Id="rId12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17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33" Type="http://schemas.openxmlformats.org/officeDocument/2006/relationships/hyperlink" Target="https://www.surgepure.com/_files/ugd/866c55_4efbc8735b37482680c16ea1608cd535.pdf" TargetMode="External"/><Relationship Id="rId38" Type="http://schemas.openxmlformats.org/officeDocument/2006/relationships/hyperlink" Target="https://www.surgepure.com/_files/ugd/866c55_4efbc8735b37482680c16ea1608cd535.pdf" TargetMode="External"/><Relationship Id="rId59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103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08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24" Type="http://schemas.openxmlformats.org/officeDocument/2006/relationships/hyperlink" Target="https://static.wixstatic.com/media/866c55_2bb4cfd91ea94b98bf1feb1ff2a11e93~mv2.jpg/v1/fill/w_493,h_735,al_c,q_85,usm_0.66_1.00_0.01,enc_avif,quality_auto/Mach%205.jpg" TargetMode="External"/><Relationship Id="rId54" Type="http://schemas.openxmlformats.org/officeDocument/2006/relationships/hyperlink" Target="https://www.surgepure.com/_files/ugd/866c55_33c48ee74dd04329866167bd4725efb7.pdf" TargetMode="External"/><Relationship Id="rId70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75" Type="http://schemas.openxmlformats.org/officeDocument/2006/relationships/hyperlink" Target="https://www.surgepure.com/_files/ugd/866c55_043f138ad818405f9e1b872f4abdd195.pdf" TargetMode="External"/><Relationship Id="rId91" Type="http://schemas.openxmlformats.org/officeDocument/2006/relationships/hyperlink" Target="https://www.surgepure.com/_files/ugd/866c55_7963cd3063b24cdab3fe47c0cc09d480.pdf" TargetMode="External"/><Relationship Id="rId96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" Type="http://schemas.openxmlformats.org/officeDocument/2006/relationships/hyperlink" Target="https://static.wixstatic.com/media/866c55_b7a4248471bd49c8ad71f8c036f4db2d~mv2.png/v1/fill/w_315,h_600,al_c,q_85,usm_0.66_1.00_0.01,enc_avif,quality_auto/866c55_b7a4248471bd49c8ad71f8c036f4db2d~mv2.png" TargetMode="External"/><Relationship Id="rId6" Type="http://schemas.openxmlformats.org/officeDocument/2006/relationships/hyperlink" Target="https://www.surgepure.com/_files/ugd/866c55_505ec3b165db4529b4fdcebb2a24b8db.pdf" TargetMode="External"/><Relationship Id="rId23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28" Type="http://schemas.openxmlformats.org/officeDocument/2006/relationships/hyperlink" Target="https://www.surgepure.com/_files/ugd/866c55_4efbc8735b37482680c16ea1608cd535.pdf" TargetMode="External"/><Relationship Id="rId49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114" Type="http://schemas.openxmlformats.org/officeDocument/2006/relationships/hyperlink" Target="https://www.surgepure.com/_files/ugd/866c55_45b12ba86ad44cf7a1d8c5b01be34585.pdf" TargetMode="External"/><Relationship Id="rId119" Type="http://schemas.openxmlformats.org/officeDocument/2006/relationships/hyperlink" Target="https://www.surgepure.com/_files/ugd/866c55_45b12ba86ad44cf7a1d8c5b01be34585.pdf" TargetMode="External"/><Relationship Id="rId44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60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65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81" Type="http://schemas.openxmlformats.org/officeDocument/2006/relationships/hyperlink" Target="https://www.surgepure.com/_files/ugd/866c55_043f138ad818405f9e1b872f4abdd195.pdf" TargetMode="External"/><Relationship Id="rId86" Type="http://schemas.openxmlformats.org/officeDocument/2006/relationships/hyperlink" Target="https://www.surgepure.com/_files/ugd/866c55_043f138ad818405f9e1b872f4abdd195.pdf" TargetMode="External"/><Relationship Id="rId4" Type="http://schemas.openxmlformats.org/officeDocument/2006/relationships/hyperlink" Target="https://static.wixstatic.com/media/866c55_b7a4248471bd49c8ad71f8c036f4db2d~mv2.png/v1/fill/w_315,h_600,al_c,q_85,usm_0.66_1.00_0.01,enc_avif,quality_auto/866c55_b7a4248471bd49c8ad71f8c036f4db2d~mv2.png" TargetMode="External"/><Relationship Id="rId9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13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18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39" Type="http://schemas.openxmlformats.org/officeDocument/2006/relationships/hyperlink" Target="https://www.surgepure.com/_files/ugd/866c55_4efbc8735b37482680c16ea1608cd535.pdf" TargetMode="External"/><Relationship Id="rId109" Type="http://schemas.openxmlformats.org/officeDocument/2006/relationships/hyperlink" Target="https://www.surgepure.com/_files/ugd/866c55_45b12ba86ad44cf7a1d8c5b01be34585.pdf" TargetMode="External"/><Relationship Id="rId34" Type="http://schemas.openxmlformats.org/officeDocument/2006/relationships/hyperlink" Target="https://www.surgepure.com/_files/ugd/866c55_4efbc8735b37482680c16ea1608cd535.pdf" TargetMode="External"/><Relationship Id="rId50" Type="http://schemas.openxmlformats.org/officeDocument/2006/relationships/hyperlink" Target="https://www.surgepure.com/_files/ugd/866c55_33c48ee74dd04329866167bd4725efb7.pdf" TargetMode="External"/><Relationship Id="rId55" Type="http://schemas.openxmlformats.org/officeDocument/2006/relationships/hyperlink" Target="https://www.surgepure.com/_files/ugd/866c55_33c48ee74dd04329866167bd4725efb7.pdf" TargetMode="External"/><Relationship Id="rId76" Type="http://schemas.openxmlformats.org/officeDocument/2006/relationships/hyperlink" Target="https://www.surgepure.com/_files/ugd/866c55_043f138ad818405f9e1b872f4abdd195.pdf" TargetMode="External"/><Relationship Id="rId97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04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20" Type="http://schemas.openxmlformats.org/officeDocument/2006/relationships/hyperlink" Target="https://www.surgepure.com/_files/ugd/866c55_45b12ba86ad44cf7a1d8c5b01be34585.pdf" TargetMode="External"/><Relationship Id="rId7" Type="http://schemas.openxmlformats.org/officeDocument/2006/relationships/hyperlink" Target="https://static.wixstatic.com/media/866c55_b7a4248471bd49c8ad71f8c036f4db2d~mv2.png/v1/fill/w_315,h_600,al_c,q_85,usm_0.66_1.00_0.01,enc_avif,quality_auto/866c55_b7a4248471bd49c8ad71f8c036f4db2d~mv2.png" TargetMode="External"/><Relationship Id="rId71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92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2" Type="http://schemas.openxmlformats.org/officeDocument/2006/relationships/hyperlink" Target="https://static.wixstatic.com/media/866c55_b7a4248471bd49c8ad71f8c036f4db2d~mv2.png/v1/fill/w_315,h_600,al_c,q_85,usm_0.66_1.00_0.01,enc_avif,quality_auto/866c55_b7a4248471bd49c8ad71f8c036f4db2d~mv2.png" TargetMode="External"/><Relationship Id="rId29" Type="http://schemas.openxmlformats.org/officeDocument/2006/relationships/hyperlink" Target="https://www.surgepure.com/_files/ugd/866c55_4efbc8735b37482680c16ea1608cd535.pdf" TargetMode="External"/><Relationship Id="rId24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40" Type="http://schemas.openxmlformats.org/officeDocument/2006/relationships/hyperlink" Target="https://www.surgepure.com/_files/ugd/866c55_4efbc8735b37482680c16ea1608cd535.pdf" TargetMode="External"/><Relationship Id="rId45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66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87" Type="http://schemas.openxmlformats.org/officeDocument/2006/relationships/hyperlink" Target="https://www.surgepure.com/_files/ugd/866c55_043f138ad818405f9e1b872f4abdd195.pdf" TargetMode="External"/><Relationship Id="rId110" Type="http://schemas.openxmlformats.org/officeDocument/2006/relationships/hyperlink" Target="https://www.surgepure.com/_files/ugd/866c55_45b12ba86ad44cf7a1d8c5b01be34585.pdf" TargetMode="External"/><Relationship Id="rId115" Type="http://schemas.openxmlformats.org/officeDocument/2006/relationships/hyperlink" Target="https://www.surgepure.com/_files/ugd/866c55_45b12ba86ad44cf7a1d8c5b01be34585.pdf" TargetMode="External"/><Relationship Id="rId61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82" Type="http://schemas.openxmlformats.org/officeDocument/2006/relationships/hyperlink" Target="https://www.surgepure.com/_files/ugd/866c55_043f138ad818405f9e1b872f4abdd195.pdf" TargetMode="External"/><Relationship Id="rId19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14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30" Type="http://schemas.openxmlformats.org/officeDocument/2006/relationships/hyperlink" Target="https://www.surgepure.com/_files/ugd/866c55_4efbc8735b37482680c16ea1608cd535.pdf" TargetMode="External"/><Relationship Id="rId35" Type="http://schemas.openxmlformats.org/officeDocument/2006/relationships/hyperlink" Target="https://www.surgepure.com/_files/ugd/866c55_4efbc8735b37482680c16ea1608cd535.pdf" TargetMode="External"/><Relationship Id="rId56" Type="http://schemas.openxmlformats.org/officeDocument/2006/relationships/hyperlink" Target="https://www.surgepure.com/_files/ugd/866c55_33c48ee74dd04329866167bd4725efb7.pdf" TargetMode="External"/><Relationship Id="rId77" Type="http://schemas.openxmlformats.org/officeDocument/2006/relationships/hyperlink" Target="https://www.surgepure.com/_files/ugd/866c55_043f138ad818405f9e1b872f4abdd195.pdf" TargetMode="External"/><Relationship Id="rId100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05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8" Type="http://schemas.openxmlformats.org/officeDocument/2006/relationships/hyperlink" Target="https://www.surgepure.com/_files/ugd/866c55_505ec3b165db4529b4fdcebb2a24b8db.pdf" TargetMode="External"/><Relationship Id="rId51" Type="http://schemas.openxmlformats.org/officeDocument/2006/relationships/hyperlink" Target="https://www.surgepure.com/_files/ugd/866c55_33c48ee74dd04329866167bd4725efb7.pdf" TargetMode="External"/><Relationship Id="rId72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93" Type="http://schemas.openxmlformats.org/officeDocument/2006/relationships/hyperlink" Target="https://www.surgepure.com/_files/ugd/866c55_45b12ba86ad44cf7a1d8c5b01be34585.pdf" TargetMode="External"/><Relationship Id="rId98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21" Type="http://schemas.openxmlformats.org/officeDocument/2006/relationships/hyperlink" Target="https://www.surgepure.com/_files/ugd/866c55_45b12ba86ad44cf7a1d8c5b01be34585.pdf" TargetMode="External"/><Relationship Id="rId3" Type="http://schemas.openxmlformats.org/officeDocument/2006/relationships/hyperlink" Target="https://static.wixstatic.com/media/866c55_b7a4248471bd49c8ad71f8c036f4db2d~mv2.png/v1/fill/w_315,h_600,al_c,q_85,usm_0.66_1.00_0.01,enc_avif,quality_auto/866c55_b7a4248471bd49c8ad71f8c036f4db2d~mv2.png" TargetMode="External"/><Relationship Id="rId25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46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67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116" Type="http://schemas.openxmlformats.org/officeDocument/2006/relationships/hyperlink" Target="https://www.surgepure.com/_files/ugd/866c55_45b12ba86ad44cf7a1d8c5b01be34585.pdf" TargetMode="External"/><Relationship Id="rId20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41" Type="http://schemas.openxmlformats.org/officeDocument/2006/relationships/hyperlink" Target="https://static.wixstatic.com/media/866c55_1654fc7e317d4d87988fc0f8dd7318df~mv2.jpg/v1/fill/w_400,h_632,al_c,q_80,usm_0.66_1.00_0.01,enc_avif,quality_auto/Mach%203_single_ph%20_model.jpg" TargetMode="External"/><Relationship Id="rId62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83" Type="http://schemas.openxmlformats.org/officeDocument/2006/relationships/hyperlink" Target="https://www.surgepure.com/_files/ugd/866c55_043f138ad818405f9e1b872f4abdd195.pdf" TargetMode="External"/><Relationship Id="rId88" Type="http://schemas.openxmlformats.org/officeDocument/2006/relationships/hyperlink" Target="https://www.surgepure.com/_files/ugd/866c55_043f138ad818405f9e1b872f4abdd195.pdf" TargetMode="External"/><Relationship Id="rId111" Type="http://schemas.openxmlformats.org/officeDocument/2006/relationships/hyperlink" Target="https://www.surgepure.com/_files/ugd/866c55_45b12ba86ad44cf7a1d8c5b01be34585.pdf" TargetMode="External"/><Relationship Id="rId15" Type="http://schemas.openxmlformats.org/officeDocument/2006/relationships/hyperlink" Target="https://static.wixstatic.com/media/866c55_057e72d3e56e42c7889cba22150f8556~mv2.png/v1/fill/w_286,h_600,al_c,q_85,usm_0.66_1.00_0.01,enc_avif,quality_auto/866c55_057e72d3e56e42c7889cba22150f8556~mv2.png" TargetMode="External"/><Relationship Id="rId36" Type="http://schemas.openxmlformats.org/officeDocument/2006/relationships/hyperlink" Target="https://www.surgepure.com/_files/ugd/866c55_4efbc8735b37482680c16ea1608cd535.pdf" TargetMode="External"/><Relationship Id="rId57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106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0" Type="http://schemas.openxmlformats.org/officeDocument/2006/relationships/hyperlink" Target="https://www.surgepure.com/_files/ugd/866c55_4efbc8735b37482680c16ea1608cd535.pdf" TargetMode="External"/><Relationship Id="rId31" Type="http://schemas.openxmlformats.org/officeDocument/2006/relationships/hyperlink" Target="https://www.surgepure.com/_files/ugd/866c55_4efbc8735b37482680c16ea1608cd535.pdf" TargetMode="External"/><Relationship Id="rId52" Type="http://schemas.openxmlformats.org/officeDocument/2006/relationships/hyperlink" Target="https://www.surgepure.com/_files/ugd/866c55_33c48ee74dd04329866167bd4725efb7.pdf" TargetMode="External"/><Relationship Id="rId73" Type="http://schemas.openxmlformats.org/officeDocument/2006/relationships/hyperlink" Target="https://static.wixstatic.com/media/866c55_bece942af92f40f18d972e8b38f1da79~mv2.png/v1/fill/w_380,h_600,al_c,q_85,usm_0.66_1.00_0.01,enc_avif,quality_auto/866c55_bece942af92f40f18d972e8b38f1da79~mv2.png" TargetMode="External"/><Relationship Id="rId78" Type="http://schemas.openxmlformats.org/officeDocument/2006/relationships/hyperlink" Target="https://www.surgepure.com/_files/ugd/866c55_043f138ad818405f9e1b872f4abdd195.pdf" TargetMode="External"/><Relationship Id="rId94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99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01" Type="http://schemas.openxmlformats.org/officeDocument/2006/relationships/hyperlink" Target="https://static.wixstatic.com/media/866c55_294da6c622474346966e4ddfe92d31fa~mv2.jpg/v1/fill/w_565,h_809,al_c,q_85,usm_0.66_1.00_0.01,enc_avif,quality_auto/Mach%206.jpg" TargetMode="External"/><Relationship Id="rId122" Type="http://schemas.openxmlformats.org/officeDocument/2006/relationships/hyperlink" Target="https://www.surgepure.com/_files/ugd/866c55_45b12ba86ad44cf7a1d8c5b01be3458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F1DC-9279-4E13-97A5-BC8BD22CA24B}">
  <dimension ref="A1:CC440"/>
  <sheetViews>
    <sheetView tabSelected="1" workbookViewId="0">
      <selection activeCell="F1" sqref="F1:F1048576"/>
    </sheetView>
  </sheetViews>
  <sheetFormatPr defaultRowHeight="15" x14ac:dyDescent="0.25"/>
  <cols>
    <col min="1" max="1" width="14.5703125" style="2" customWidth="1"/>
    <col min="2" max="2" width="9.7109375" style="2" customWidth="1"/>
    <col min="3" max="3" width="37.7109375" style="8" customWidth="1"/>
    <col min="4" max="4" width="78.42578125" style="8" customWidth="1"/>
    <col min="5" max="5" width="177.42578125" style="8" customWidth="1"/>
    <col min="6" max="6" width="8.85546875" style="2" bestFit="1" customWidth="1"/>
    <col min="7" max="7" width="7.85546875" style="2" customWidth="1"/>
    <col min="8" max="8" width="9.85546875" style="2" customWidth="1"/>
    <col min="9" max="9" width="8.42578125" style="2" bestFit="1" customWidth="1"/>
    <col min="10" max="10" width="9.28515625" style="2" customWidth="1"/>
    <col min="11" max="11" width="9.28515625" style="2" bestFit="1" customWidth="1"/>
    <col min="12" max="12" width="9.140625" style="2"/>
    <col min="13" max="13" width="10.85546875" style="9" customWidth="1"/>
    <col min="14" max="14" width="8" style="2" bestFit="1" customWidth="1"/>
    <col min="15" max="15" width="11.28515625" style="2" customWidth="1"/>
    <col min="16" max="16" width="9.140625" style="2"/>
    <col min="17" max="17" width="7.85546875" style="2" customWidth="1"/>
    <col min="18" max="18" width="9.85546875" style="2" customWidth="1"/>
    <col min="19" max="19" width="8" style="2" customWidth="1"/>
    <col min="20" max="20" width="10.42578125" style="2" customWidth="1"/>
    <col min="21" max="21" width="9.7109375" style="2" customWidth="1"/>
    <col min="22" max="22" width="9.42578125" style="9" customWidth="1"/>
    <col min="23" max="23" width="9.42578125" style="2" customWidth="1"/>
    <col min="24" max="24" width="10.5703125" style="9" customWidth="1"/>
    <col min="25" max="25" width="10.140625" style="2" customWidth="1"/>
    <col min="26" max="26" width="9.7109375" style="9" customWidth="1"/>
    <col min="27" max="27" width="9.42578125" style="2" customWidth="1"/>
    <col min="28" max="28" width="11.140625" style="9" customWidth="1"/>
    <col min="29" max="29" width="9" style="2" customWidth="1"/>
    <col min="30" max="30" width="10.5703125" style="9" customWidth="1"/>
    <col min="31" max="31" width="176.42578125" style="8" customWidth="1"/>
    <col min="32" max="32" width="252.85546875" style="8" customWidth="1"/>
    <col min="33" max="33" width="205" style="8" customWidth="1"/>
    <col min="34" max="34" width="92.140625" style="8" customWidth="1"/>
    <col min="35" max="35" width="25.5703125" style="2" customWidth="1"/>
    <col min="36" max="36" width="24.7109375" style="2" customWidth="1"/>
    <col min="37" max="37" width="16.7109375" style="2" customWidth="1"/>
    <col min="38" max="38" width="9.42578125" style="2" customWidth="1"/>
    <col min="39" max="39" width="10" style="2" bestFit="1" customWidth="1"/>
    <col min="40" max="40" width="10.28515625" style="2" bestFit="1" customWidth="1"/>
    <col min="41" max="16384" width="9.140625" style="1"/>
  </cols>
  <sheetData>
    <row r="1" spans="1:81" s="2" customFormat="1" ht="60" customHeight="1" x14ac:dyDescent="0.25">
      <c r="A1" s="6" t="s">
        <v>27</v>
      </c>
      <c r="B1" s="6" t="s">
        <v>4</v>
      </c>
      <c r="C1" s="6" t="s">
        <v>33</v>
      </c>
      <c r="D1" s="6" t="s">
        <v>34</v>
      </c>
      <c r="E1" s="6" t="s">
        <v>35</v>
      </c>
      <c r="F1" s="6" t="s">
        <v>0</v>
      </c>
      <c r="G1" s="6" t="s">
        <v>1</v>
      </c>
      <c r="H1" s="6" t="s">
        <v>2</v>
      </c>
      <c r="I1" s="6" t="s">
        <v>28</v>
      </c>
      <c r="J1" s="6" t="s">
        <v>3</v>
      </c>
      <c r="K1" s="6" t="s">
        <v>36</v>
      </c>
      <c r="L1" s="6" t="s">
        <v>24</v>
      </c>
      <c r="M1" s="6" t="s">
        <v>25</v>
      </c>
      <c r="N1" s="6" t="s">
        <v>26</v>
      </c>
      <c r="O1" s="4" t="s">
        <v>5</v>
      </c>
      <c r="P1" s="3" t="s">
        <v>32</v>
      </c>
      <c r="Q1" s="3" t="s">
        <v>6</v>
      </c>
      <c r="R1" s="3" t="s">
        <v>31</v>
      </c>
      <c r="S1" s="3" t="s">
        <v>30</v>
      </c>
      <c r="T1" s="3" t="s">
        <v>220</v>
      </c>
      <c r="U1" s="4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5" t="s">
        <v>23</v>
      </c>
      <c r="AE1" s="3" t="s">
        <v>9</v>
      </c>
      <c r="AF1" s="3" t="s">
        <v>219</v>
      </c>
      <c r="AG1" s="5" t="s">
        <v>10</v>
      </c>
      <c r="AH1" s="4" t="s">
        <v>11</v>
      </c>
      <c r="AI1" s="3" t="s">
        <v>12</v>
      </c>
      <c r="AJ1" s="3" t="s">
        <v>7</v>
      </c>
      <c r="AK1" s="3" t="s">
        <v>8</v>
      </c>
      <c r="AL1" s="3" t="s">
        <v>37</v>
      </c>
      <c r="AM1" s="3" t="s">
        <v>13</v>
      </c>
      <c r="AN1" s="7" t="s">
        <v>29</v>
      </c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</row>
    <row r="2" spans="1:81" x14ac:dyDescent="0.25">
      <c r="B2" s="2">
        <v>8865</v>
      </c>
      <c r="C2" s="29" t="s">
        <v>42</v>
      </c>
      <c r="D2" t="s">
        <v>50</v>
      </c>
      <c r="E2" t="s">
        <v>205</v>
      </c>
      <c r="F2" s="2" t="str">
        <f t="shared" ref="F2:F21" si="0">IF(H2="","",LEFT(H2,2))</f>
        <v>45</v>
      </c>
      <c r="G2" s="2" t="str">
        <f t="shared" ref="G2:G21" si="1">IF(H2="","",LEFT(H2,4))</f>
        <v>4575</v>
      </c>
      <c r="H2" s="2">
        <v>457530</v>
      </c>
      <c r="I2" s="2" t="s">
        <v>39</v>
      </c>
      <c r="J2" s="2">
        <v>26814</v>
      </c>
      <c r="K2" s="2" t="s">
        <v>201</v>
      </c>
      <c r="L2" s="2" t="s">
        <v>38</v>
      </c>
      <c r="M2" s="30">
        <v>3.2</v>
      </c>
      <c r="N2" s="23" t="s">
        <v>49</v>
      </c>
      <c r="O2" s="32">
        <v>349.5</v>
      </c>
      <c r="P2" s="2" t="s">
        <v>41</v>
      </c>
      <c r="Q2" s="23">
        <v>1</v>
      </c>
      <c r="R2" s="2">
        <v>1</v>
      </c>
      <c r="S2" s="23">
        <v>7</v>
      </c>
      <c r="T2" s="31">
        <v>699</v>
      </c>
      <c r="U2" s="23">
        <v>1</v>
      </c>
      <c r="V2" s="31">
        <v>698.95</v>
      </c>
      <c r="AE2" t="s">
        <v>205</v>
      </c>
      <c r="AF2" t="s">
        <v>212</v>
      </c>
      <c r="AG2" s="33" t="s">
        <v>365</v>
      </c>
      <c r="AH2" s="33" t="s">
        <v>366</v>
      </c>
      <c r="AI2" s="2" t="s">
        <v>203</v>
      </c>
      <c r="AK2" s="2" t="s">
        <v>204</v>
      </c>
      <c r="AL2" s="2" t="s">
        <v>40</v>
      </c>
      <c r="AN2" s="2" t="s">
        <v>38</v>
      </c>
    </row>
    <row r="3" spans="1:81" x14ac:dyDescent="0.25">
      <c r="B3" s="2">
        <v>8865</v>
      </c>
      <c r="C3" s="28" t="s">
        <v>43</v>
      </c>
      <c r="D3" t="s">
        <v>51</v>
      </c>
      <c r="E3" t="s">
        <v>206</v>
      </c>
      <c r="F3" s="2" t="str">
        <f t="shared" si="0"/>
        <v>45</v>
      </c>
      <c r="G3" s="2" t="str">
        <f t="shared" si="1"/>
        <v>4575</v>
      </c>
      <c r="H3" s="2">
        <v>457530</v>
      </c>
      <c r="I3" s="2" t="s">
        <v>39</v>
      </c>
      <c r="J3" s="2">
        <v>26814</v>
      </c>
      <c r="K3" s="2" t="s">
        <v>201</v>
      </c>
      <c r="L3" s="2" t="s">
        <v>38</v>
      </c>
      <c r="M3" s="30">
        <v>3.2</v>
      </c>
      <c r="N3" s="23" t="s">
        <v>49</v>
      </c>
      <c r="O3" s="32">
        <v>499.25</v>
      </c>
      <c r="P3" s="2" t="s">
        <v>41</v>
      </c>
      <c r="Q3" s="23">
        <v>1</v>
      </c>
      <c r="R3" s="2">
        <v>1</v>
      </c>
      <c r="S3" s="23">
        <v>7</v>
      </c>
      <c r="T3" s="31">
        <v>998.5</v>
      </c>
      <c r="U3" s="23">
        <v>1</v>
      </c>
      <c r="V3" s="31">
        <v>998.49</v>
      </c>
      <c r="AE3" t="s">
        <v>206</v>
      </c>
      <c r="AF3" t="s">
        <v>213</v>
      </c>
      <c r="AG3" s="33" t="s">
        <v>365</v>
      </c>
      <c r="AH3" s="33" t="s">
        <v>366</v>
      </c>
      <c r="AI3" s="2" t="s">
        <v>203</v>
      </c>
      <c r="AK3" s="2" t="s">
        <v>204</v>
      </c>
      <c r="AL3" s="2" t="s">
        <v>40</v>
      </c>
      <c r="AN3" s="2" t="s">
        <v>38</v>
      </c>
    </row>
    <row r="4" spans="1:81" x14ac:dyDescent="0.25">
      <c r="B4" s="2">
        <v>8865</v>
      </c>
      <c r="C4" s="28" t="s">
        <v>44</v>
      </c>
      <c r="D4" t="s">
        <v>52</v>
      </c>
      <c r="E4" t="s">
        <v>207</v>
      </c>
      <c r="F4" s="2" t="str">
        <f t="shared" si="0"/>
        <v>45</v>
      </c>
      <c r="G4" s="2" t="str">
        <f t="shared" si="1"/>
        <v>4575</v>
      </c>
      <c r="H4" s="2">
        <v>457530</v>
      </c>
      <c r="I4" s="2" t="s">
        <v>39</v>
      </c>
      <c r="J4" s="2">
        <v>26814</v>
      </c>
      <c r="K4" s="2" t="s">
        <v>201</v>
      </c>
      <c r="L4" s="2" t="s">
        <v>38</v>
      </c>
      <c r="M4" s="30">
        <v>3.85</v>
      </c>
      <c r="N4" s="23" t="s">
        <v>49</v>
      </c>
      <c r="O4" s="32">
        <v>650</v>
      </c>
      <c r="P4" s="2" t="s">
        <v>41</v>
      </c>
      <c r="Q4" s="23">
        <v>1</v>
      </c>
      <c r="R4" s="2">
        <v>1</v>
      </c>
      <c r="S4" s="23">
        <v>7</v>
      </c>
      <c r="T4" s="31">
        <v>1300</v>
      </c>
      <c r="U4" s="23">
        <v>1</v>
      </c>
      <c r="V4" s="31">
        <v>1299.95</v>
      </c>
      <c r="AE4" t="s">
        <v>207</v>
      </c>
      <c r="AF4" t="s">
        <v>214</v>
      </c>
      <c r="AG4" s="33" t="s">
        <v>365</v>
      </c>
      <c r="AH4" s="33" t="s">
        <v>366</v>
      </c>
      <c r="AI4" s="2" t="s">
        <v>203</v>
      </c>
      <c r="AK4" s="2" t="s">
        <v>204</v>
      </c>
      <c r="AL4" s="2" t="s">
        <v>40</v>
      </c>
      <c r="AN4" s="2" t="s">
        <v>38</v>
      </c>
    </row>
    <row r="5" spans="1:81" x14ac:dyDescent="0.25">
      <c r="B5" s="2">
        <v>8865</v>
      </c>
      <c r="C5" s="28" t="s">
        <v>45</v>
      </c>
      <c r="D5" t="s">
        <v>53</v>
      </c>
      <c r="E5" t="s">
        <v>208</v>
      </c>
      <c r="F5" s="2" t="str">
        <f t="shared" si="0"/>
        <v>45</v>
      </c>
      <c r="G5" s="2" t="str">
        <f t="shared" si="1"/>
        <v>4575</v>
      </c>
      <c r="H5" s="2">
        <v>457530</v>
      </c>
      <c r="I5" s="2" t="s">
        <v>39</v>
      </c>
      <c r="J5" s="2">
        <v>26814</v>
      </c>
      <c r="K5" s="2" t="s">
        <v>201</v>
      </c>
      <c r="L5" s="2" t="s">
        <v>38</v>
      </c>
      <c r="M5" s="30">
        <v>3.5</v>
      </c>
      <c r="N5" s="23" t="s">
        <v>49</v>
      </c>
      <c r="O5" s="32">
        <v>650</v>
      </c>
      <c r="P5" s="2" t="s">
        <v>41</v>
      </c>
      <c r="Q5" s="23">
        <v>1</v>
      </c>
      <c r="R5" s="2">
        <v>1</v>
      </c>
      <c r="S5" s="23">
        <v>7</v>
      </c>
      <c r="T5" s="31">
        <v>1300</v>
      </c>
      <c r="U5" s="23">
        <v>1</v>
      </c>
      <c r="V5" s="31">
        <v>1299.95</v>
      </c>
      <c r="AE5" t="s">
        <v>208</v>
      </c>
      <c r="AF5" t="s">
        <v>215</v>
      </c>
      <c r="AG5" s="33" t="s">
        <v>365</v>
      </c>
      <c r="AH5" s="33" t="s">
        <v>366</v>
      </c>
      <c r="AI5" s="2" t="s">
        <v>203</v>
      </c>
      <c r="AK5" s="2" t="s">
        <v>204</v>
      </c>
      <c r="AL5" s="2" t="s">
        <v>40</v>
      </c>
      <c r="AN5" s="2" t="s">
        <v>38</v>
      </c>
    </row>
    <row r="6" spans="1:81" x14ac:dyDescent="0.25">
      <c r="B6" s="2">
        <v>8865</v>
      </c>
      <c r="C6" s="28" t="s">
        <v>46</v>
      </c>
      <c r="D6" t="s">
        <v>54</v>
      </c>
      <c r="E6" t="s">
        <v>209</v>
      </c>
      <c r="F6" s="2" t="str">
        <f t="shared" si="0"/>
        <v>45</v>
      </c>
      <c r="G6" s="2" t="str">
        <f t="shared" si="1"/>
        <v>4575</v>
      </c>
      <c r="H6" s="2">
        <v>457530</v>
      </c>
      <c r="I6" s="2" t="s">
        <v>39</v>
      </c>
      <c r="J6" s="2">
        <v>26814</v>
      </c>
      <c r="K6" s="2" t="s">
        <v>201</v>
      </c>
      <c r="L6" s="2" t="s">
        <v>38</v>
      </c>
      <c r="M6" s="30">
        <v>3.85</v>
      </c>
      <c r="N6" s="23" t="s">
        <v>49</v>
      </c>
      <c r="O6" s="32">
        <v>650</v>
      </c>
      <c r="P6" s="2" t="s">
        <v>41</v>
      </c>
      <c r="Q6" s="23">
        <v>1</v>
      </c>
      <c r="R6" s="2">
        <v>1</v>
      </c>
      <c r="S6" s="23">
        <v>7</v>
      </c>
      <c r="T6" s="31">
        <v>1300</v>
      </c>
      <c r="U6" s="23">
        <v>1</v>
      </c>
      <c r="V6" s="31">
        <v>1299.95</v>
      </c>
      <c r="AE6" t="s">
        <v>209</v>
      </c>
      <c r="AF6" t="s">
        <v>216</v>
      </c>
      <c r="AG6" s="33" t="s">
        <v>365</v>
      </c>
      <c r="AH6" s="33" t="s">
        <v>366</v>
      </c>
      <c r="AI6" s="2" t="s">
        <v>203</v>
      </c>
      <c r="AK6" s="2" t="s">
        <v>204</v>
      </c>
      <c r="AL6" s="2" t="s">
        <v>40</v>
      </c>
      <c r="AN6" s="2" t="s">
        <v>38</v>
      </c>
    </row>
    <row r="7" spans="1:81" x14ac:dyDescent="0.25">
      <c r="B7" s="2">
        <v>8865</v>
      </c>
      <c r="C7" s="28" t="s">
        <v>47</v>
      </c>
      <c r="D7" t="s">
        <v>55</v>
      </c>
      <c r="E7" t="s">
        <v>210</v>
      </c>
      <c r="F7" s="2" t="str">
        <f t="shared" si="0"/>
        <v>45</v>
      </c>
      <c r="G7" s="2" t="str">
        <f t="shared" si="1"/>
        <v>4575</v>
      </c>
      <c r="H7" s="2">
        <v>457530</v>
      </c>
      <c r="I7" s="2" t="s">
        <v>39</v>
      </c>
      <c r="J7" s="2">
        <v>26814</v>
      </c>
      <c r="K7" s="2" t="s">
        <v>201</v>
      </c>
      <c r="L7" s="2" t="s">
        <v>38</v>
      </c>
      <c r="M7" s="30">
        <v>3.8</v>
      </c>
      <c r="N7" s="23" t="s">
        <v>49</v>
      </c>
      <c r="O7" s="32">
        <v>750</v>
      </c>
      <c r="P7" s="2" t="s">
        <v>41</v>
      </c>
      <c r="Q7" s="23">
        <v>1</v>
      </c>
      <c r="R7" s="2">
        <v>1</v>
      </c>
      <c r="S7" s="23">
        <v>7</v>
      </c>
      <c r="T7" s="31">
        <v>1500</v>
      </c>
      <c r="U7" s="23">
        <v>1</v>
      </c>
      <c r="V7" s="31">
        <v>1499.95</v>
      </c>
      <c r="AE7" t="s">
        <v>210</v>
      </c>
      <c r="AF7" t="s">
        <v>217</v>
      </c>
      <c r="AG7" s="33" t="s">
        <v>365</v>
      </c>
      <c r="AH7" s="33" t="s">
        <v>366</v>
      </c>
      <c r="AI7" s="2" t="s">
        <v>203</v>
      </c>
      <c r="AK7" s="2" t="s">
        <v>204</v>
      </c>
      <c r="AL7" s="2" t="s">
        <v>40</v>
      </c>
      <c r="AN7" s="2" t="s">
        <v>38</v>
      </c>
    </row>
    <row r="8" spans="1:81" x14ac:dyDescent="0.25">
      <c r="B8" s="2">
        <v>8865</v>
      </c>
      <c r="C8" s="28" t="s">
        <v>48</v>
      </c>
      <c r="D8" t="s">
        <v>56</v>
      </c>
      <c r="E8" t="s">
        <v>211</v>
      </c>
      <c r="F8" s="2" t="str">
        <f t="shared" si="0"/>
        <v>45</v>
      </c>
      <c r="G8" s="2" t="str">
        <f t="shared" si="1"/>
        <v>4575</v>
      </c>
      <c r="H8" s="2">
        <v>457530</v>
      </c>
      <c r="I8" s="2" t="s">
        <v>39</v>
      </c>
      <c r="J8" s="2">
        <v>26814</v>
      </c>
      <c r="K8" s="2" t="s">
        <v>201</v>
      </c>
      <c r="L8" s="2" t="s">
        <v>38</v>
      </c>
      <c r="M8" s="30">
        <v>4.25</v>
      </c>
      <c r="N8" s="23" t="s">
        <v>49</v>
      </c>
      <c r="O8" s="32">
        <v>750</v>
      </c>
      <c r="P8" s="2" t="s">
        <v>41</v>
      </c>
      <c r="Q8" s="23">
        <v>1</v>
      </c>
      <c r="R8" s="2">
        <v>1</v>
      </c>
      <c r="S8" s="23">
        <v>7</v>
      </c>
      <c r="T8" s="31">
        <v>1500</v>
      </c>
      <c r="U8" s="23">
        <v>1</v>
      </c>
      <c r="V8" s="31">
        <v>1499.95</v>
      </c>
      <c r="AE8" t="s">
        <v>211</v>
      </c>
      <c r="AF8" t="s">
        <v>218</v>
      </c>
      <c r="AG8" s="33" t="s">
        <v>365</v>
      </c>
      <c r="AH8" s="33" t="s">
        <v>366</v>
      </c>
      <c r="AI8" s="2" t="s">
        <v>203</v>
      </c>
      <c r="AK8" s="2" t="s">
        <v>204</v>
      </c>
      <c r="AL8" s="2" t="s">
        <v>40</v>
      </c>
      <c r="AN8" s="2" t="s">
        <v>38</v>
      </c>
    </row>
    <row r="9" spans="1:81" x14ac:dyDescent="0.25">
      <c r="B9" s="2">
        <v>8865</v>
      </c>
      <c r="C9" s="28" t="s">
        <v>57</v>
      </c>
      <c r="D9" t="s">
        <v>73</v>
      </c>
      <c r="E9" t="s">
        <v>221</v>
      </c>
      <c r="F9" s="2" t="str">
        <f t="shared" si="0"/>
        <v>45</v>
      </c>
      <c r="G9" s="2" t="str">
        <f t="shared" si="1"/>
        <v>4575</v>
      </c>
      <c r="H9" s="2">
        <v>457530</v>
      </c>
      <c r="I9" s="2" t="s">
        <v>39</v>
      </c>
      <c r="J9" s="2">
        <v>26814</v>
      </c>
      <c r="K9" s="2" t="s">
        <v>202</v>
      </c>
      <c r="L9" s="2" t="s">
        <v>38</v>
      </c>
      <c r="M9" s="30">
        <v>5.2</v>
      </c>
      <c r="N9" s="23" t="s">
        <v>49</v>
      </c>
      <c r="O9" s="32">
        <v>1100</v>
      </c>
      <c r="P9" s="2" t="s">
        <v>41</v>
      </c>
      <c r="Q9" s="23">
        <v>1</v>
      </c>
      <c r="R9" s="2">
        <v>1</v>
      </c>
      <c r="S9" s="23">
        <v>7</v>
      </c>
      <c r="T9" s="31">
        <v>2200</v>
      </c>
      <c r="U9" s="23">
        <v>1</v>
      </c>
      <c r="V9" s="10">
        <v>2199.9499999999998</v>
      </c>
      <c r="AE9" t="s">
        <v>221</v>
      </c>
      <c r="AF9" t="s">
        <v>237</v>
      </c>
      <c r="AG9" s="33" t="s">
        <v>367</v>
      </c>
      <c r="AH9" s="33" t="s">
        <v>368</v>
      </c>
      <c r="AI9" s="2" t="s">
        <v>203</v>
      </c>
      <c r="AK9" s="2" t="s">
        <v>204</v>
      </c>
      <c r="AL9" s="2" t="s">
        <v>40</v>
      </c>
      <c r="AN9" s="2" t="s">
        <v>38</v>
      </c>
    </row>
    <row r="10" spans="1:81" x14ac:dyDescent="0.25">
      <c r="B10" s="2">
        <v>8865</v>
      </c>
      <c r="C10" s="28" t="s">
        <v>58</v>
      </c>
      <c r="D10" t="s">
        <v>74</v>
      </c>
      <c r="E10" t="s">
        <v>222</v>
      </c>
      <c r="F10" s="2" t="str">
        <f t="shared" si="0"/>
        <v>45</v>
      </c>
      <c r="G10" s="2" t="str">
        <f t="shared" si="1"/>
        <v>4575</v>
      </c>
      <c r="H10" s="2">
        <v>457530</v>
      </c>
      <c r="I10" s="2" t="s">
        <v>39</v>
      </c>
      <c r="J10" s="2">
        <v>26814</v>
      </c>
      <c r="K10" s="2" t="s">
        <v>202</v>
      </c>
      <c r="L10" s="2" t="s">
        <v>38</v>
      </c>
      <c r="M10" s="30">
        <v>5.3</v>
      </c>
      <c r="N10" s="23" t="s">
        <v>49</v>
      </c>
      <c r="O10" s="32">
        <v>1250</v>
      </c>
      <c r="P10" s="2" t="s">
        <v>41</v>
      </c>
      <c r="Q10" s="23">
        <v>1</v>
      </c>
      <c r="R10" s="2">
        <v>1</v>
      </c>
      <c r="S10" s="23">
        <v>7</v>
      </c>
      <c r="T10" s="31">
        <v>2500</v>
      </c>
      <c r="U10" s="23">
        <v>1</v>
      </c>
      <c r="V10" s="10">
        <v>2499.9499999999998</v>
      </c>
      <c r="AE10" t="s">
        <v>222</v>
      </c>
      <c r="AF10" t="s">
        <v>238</v>
      </c>
      <c r="AG10" s="33" t="s">
        <v>367</v>
      </c>
      <c r="AH10" s="33" t="s">
        <v>368</v>
      </c>
      <c r="AI10" s="2" t="s">
        <v>203</v>
      </c>
      <c r="AK10" s="2" t="s">
        <v>204</v>
      </c>
      <c r="AL10" s="2" t="s">
        <v>40</v>
      </c>
      <c r="AN10" s="2" t="s">
        <v>38</v>
      </c>
    </row>
    <row r="11" spans="1:81" x14ac:dyDescent="0.25">
      <c r="B11" s="2">
        <v>8865</v>
      </c>
      <c r="C11" s="28" t="s">
        <v>59</v>
      </c>
      <c r="D11" t="s">
        <v>75</v>
      </c>
      <c r="E11" t="s">
        <v>223</v>
      </c>
      <c r="F11" s="2" t="str">
        <f t="shared" si="0"/>
        <v>45</v>
      </c>
      <c r="G11" s="2" t="str">
        <f t="shared" si="1"/>
        <v>4575</v>
      </c>
      <c r="H11" s="2">
        <v>457530</v>
      </c>
      <c r="I11" s="2" t="s">
        <v>39</v>
      </c>
      <c r="J11" s="2">
        <v>26814</v>
      </c>
      <c r="K11" s="2" t="s">
        <v>202</v>
      </c>
      <c r="L11" s="2" t="s">
        <v>38</v>
      </c>
      <c r="M11" s="30">
        <v>6</v>
      </c>
      <c r="N11" s="23" t="s">
        <v>49</v>
      </c>
      <c r="O11" s="32">
        <v>1150</v>
      </c>
      <c r="P11" s="2" t="s">
        <v>41</v>
      </c>
      <c r="Q11" s="23">
        <v>1</v>
      </c>
      <c r="R11" s="2">
        <v>1</v>
      </c>
      <c r="S11" s="23">
        <v>7</v>
      </c>
      <c r="T11" s="31">
        <v>2300</v>
      </c>
      <c r="U11" s="23">
        <v>1</v>
      </c>
      <c r="V11" s="10">
        <v>2299.9499999999998</v>
      </c>
      <c r="AE11" t="s">
        <v>223</v>
      </c>
      <c r="AF11" t="s">
        <v>239</v>
      </c>
      <c r="AG11" s="33" t="s">
        <v>367</v>
      </c>
      <c r="AH11" s="33" t="s">
        <v>368</v>
      </c>
      <c r="AI11" s="2" t="s">
        <v>203</v>
      </c>
      <c r="AK11" s="2" t="s">
        <v>204</v>
      </c>
      <c r="AL11" s="2" t="s">
        <v>40</v>
      </c>
      <c r="AN11" s="2" t="s">
        <v>38</v>
      </c>
    </row>
    <row r="12" spans="1:81" x14ac:dyDescent="0.25">
      <c r="B12" s="2">
        <v>8865</v>
      </c>
      <c r="C12" s="28" t="s">
        <v>60</v>
      </c>
      <c r="D12" t="s">
        <v>76</v>
      </c>
      <c r="E12" t="s">
        <v>224</v>
      </c>
      <c r="F12" s="2" t="str">
        <f t="shared" si="0"/>
        <v>45</v>
      </c>
      <c r="G12" s="2" t="str">
        <f t="shared" si="1"/>
        <v>4575</v>
      </c>
      <c r="H12" s="2">
        <v>457530</v>
      </c>
      <c r="I12" s="2" t="s">
        <v>39</v>
      </c>
      <c r="J12" s="2">
        <v>26814</v>
      </c>
      <c r="K12" s="2" t="s">
        <v>202</v>
      </c>
      <c r="L12" s="2" t="s">
        <v>38</v>
      </c>
      <c r="M12" s="30">
        <v>6.1</v>
      </c>
      <c r="N12" s="23" t="s">
        <v>49</v>
      </c>
      <c r="O12" s="32">
        <v>1300</v>
      </c>
      <c r="P12" s="2" t="s">
        <v>41</v>
      </c>
      <c r="Q12" s="23">
        <v>1</v>
      </c>
      <c r="R12" s="2">
        <v>1</v>
      </c>
      <c r="S12" s="23">
        <v>7</v>
      </c>
      <c r="T12" s="31">
        <v>2600</v>
      </c>
      <c r="U12" s="23">
        <v>1</v>
      </c>
      <c r="V12" s="10">
        <v>2599.9499999999998</v>
      </c>
      <c r="AE12" t="s">
        <v>224</v>
      </c>
      <c r="AF12" t="s">
        <v>240</v>
      </c>
      <c r="AG12" s="33" t="s">
        <v>367</v>
      </c>
      <c r="AH12" s="33" t="s">
        <v>368</v>
      </c>
      <c r="AI12" s="2" t="s">
        <v>203</v>
      </c>
      <c r="AK12" s="2" t="s">
        <v>204</v>
      </c>
      <c r="AL12" s="2" t="s">
        <v>40</v>
      </c>
      <c r="AN12" s="2" t="s">
        <v>38</v>
      </c>
    </row>
    <row r="13" spans="1:81" x14ac:dyDescent="0.25">
      <c r="B13" s="2">
        <v>8865</v>
      </c>
      <c r="C13" s="28" t="s">
        <v>61</v>
      </c>
      <c r="D13" t="s">
        <v>77</v>
      </c>
      <c r="E13" t="s">
        <v>225</v>
      </c>
      <c r="F13" s="2" t="str">
        <f t="shared" si="0"/>
        <v>45</v>
      </c>
      <c r="G13" s="2" t="str">
        <f t="shared" si="1"/>
        <v>4575</v>
      </c>
      <c r="H13" s="2">
        <v>457530</v>
      </c>
      <c r="I13" s="2" t="s">
        <v>39</v>
      </c>
      <c r="J13" s="2">
        <v>26814</v>
      </c>
      <c r="K13" s="2" t="s">
        <v>202</v>
      </c>
      <c r="L13" s="2" t="s">
        <v>38</v>
      </c>
      <c r="M13" s="30">
        <v>6</v>
      </c>
      <c r="N13" s="23" t="s">
        <v>49</v>
      </c>
      <c r="O13" s="32">
        <v>1150</v>
      </c>
      <c r="P13" s="2" t="s">
        <v>41</v>
      </c>
      <c r="Q13" s="23">
        <v>1</v>
      </c>
      <c r="R13" s="2">
        <v>1</v>
      </c>
      <c r="S13" s="23">
        <v>7</v>
      </c>
      <c r="T13" s="31">
        <v>2300</v>
      </c>
      <c r="U13" s="23">
        <v>1</v>
      </c>
      <c r="V13" s="10">
        <v>2299.9499999999998</v>
      </c>
      <c r="AE13" t="s">
        <v>225</v>
      </c>
      <c r="AF13" t="s">
        <v>241</v>
      </c>
      <c r="AG13" s="33" t="s">
        <v>367</v>
      </c>
      <c r="AH13" s="33" t="s">
        <v>368</v>
      </c>
      <c r="AI13" s="2" t="s">
        <v>203</v>
      </c>
      <c r="AK13" s="2" t="s">
        <v>204</v>
      </c>
      <c r="AL13" s="2" t="s">
        <v>40</v>
      </c>
      <c r="AN13" s="2" t="s">
        <v>38</v>
      </c>
    </row>
    <row r="14" spans="1:81" x14ac:dyDescent="0.25">
      <c r="B14" s="2">
        <v>8865</v>
      </c>
      <c r="C14" s="28" t="s">
        <v>62</v>
      </c>
      <c r="D14" t="s">
        <v>78</v>
      </c>
      <c r="E14" t="s">
        <v>226</v>
      </c>
      <c r="F14" s="2" t="str">
        <f t="shared" si="0"/>
        <v>45</v>
      </c>
      <c r="G14" s="2" t="str">
        <f t="shared" si="1"/>
        <v>4575</v>
      </c>
      <c r="H14" s="2">
        <v>457530</v>
      </c>
      <c r="I14" s="2" t="s">
        <v>39</v>
      </c>
      <c r="J14" s="2">
        <v>26814</v>
      </c>
      <c r="K14" s="2" t="s">
        <v>202</v>
      </c>
      <c r="L14" s="2" t="s">
        <v>38</v>
      </c>
      <c r="M14" s="30">
        <v>6.1</v>
      </c>
      <c r="N14" s="23" t="s">
        <v>49</v>
      </c>
      <c r="O14" s="32">
        <v>1300</v>
      </c>
      <c r="P14" s="2" t="s">
        <v>41</v>
      </c>
      <c r="Q14" s="23">
        <v>1</v>
      </c>
      <c r="R14" s="2">
        <v>1</v>
      </c>
      <c r="S14" s="23">
        <v>7</v>
      </c>
      <c r="T14" s="31">
        <v>2600</v>
      </c>
      <c r="U14" s="23">
        <v>1</v>
      </c>
      <c r="V14" s="10">
        <v>2599.9499999999998</v>
      </c>
      <c r="AE14" t="s">
        <v>226</v>
      </c>
      <c r="AF14" t="s">
        <v>242</v>
      </c>
      <c r="AG14" s="33" t="s">
        <v>367</v>
      </c>
      <c r="AH14" s="33" t="s">
        <v>368</v>
      </c>
      <c r="AI14" s="2" t="s">
        <v>203</v>
      </c>
      <c r="AK14" s="2" t="s">
        <v>204</v>
      </c>
      <c r="AL14" s="2" t="s">
        <v>40</v>
      </c>
      <c r="AN14" s="2" t="s">
        <v>38</v>
      </c>
    </row>
    <row r="15" spans="1:81" x14ac:dyDescent="0.25">
      <c r="B15" s="2">
        <v>8865</v>
      </c>
      <c r="C15" s="28" t="s">
        <v>63</v>
      </c>
      <c r="D15" t="s">
        <v>79</v>
      </c>
      <c r="E15" t="s">
        <v>227</v>
      </c>
      <c r="F15" s="2" t="str">
        <f t="shared" si="0"/>
        <v>45</v>
      </c>
      <c r="G15" s="2" t="str">
        <f t="shared" si="1"/>
        <v>4575</v>
      </c>
      <c r="H15" s="2">
        <v>457530</v>
      </c>
      <c r="I15" s="2" t="s">
        <v>39</v>
      </c>
      <c r="J15" s="2">
        <v>26814</v>
      </c>
      <c r="K15" s="2" t="s">
        <v>202</v>
      </c>
      <c r="L15" s="2" t="s">
        <v>38</v>
      </c>
      <c r="M15" s="30">
        <v>6</v>
      </c>
      <c r="N15" s="23" t="s">
        <v>49</v>
      </c>
      <c r="O15" s="32">
        <v>1150</v>
      </c>
      <c r="P15" s="2" t="s">
        <v>41</v>
      </c>
      <c r="Q15" s="23">
        <v>1</v>
      </c>
      <c r="R15" s="2">
        <v>1</v>
      </c>
      <c r="S15" s="23">
        <v>7</v>
      </c>
      <c r="T15" s="31">
        <v>2300</v>
      </c>
      <c r="U15" s="23">
        <v>1</v>
      </c>
      <c r="V15" s="10">
        <v>2299.9499999999998</v>
      </c>
      <c r="AE15" t="s">
        <v>227</v>
      </c>
      <c r="AF15" t="s">
        <v>243</v>
      </c>
      <c r="AG15" s="33" t="s">
        <v>367</v>
      </c>
      <c r="AH15" s="33" t="s">
        <v>368</v>
      </c>
      <c r="AI15" s="2" t="s">
        <v>203</v>
      </c>
      <c r="AK15" s="2" t="s">
        <v>204</v>
      </c>
      <c r="AL15" s="2" t="s">
        <v>40</v>
      </c>
      <c r="AN15" s="2" t="s">
        <v>38</v>
      </c>
    </row>
    <row r="16" spans="1:81" x14ac:dyDescent="0.25">
      <c r="B16" s="2">
        <v>8865</v>
      </c>
      <c r="C16" s="28" t="s">
        <v>64</v>
      </c>
      <c r="D16" t="s">
        <v>80</v>
      </c>
      <c r="E16" t="s">
        <v>228</v>
      </c>
      <c r="F16" s="2" t="str">
        <f t="shared" si="0"/>
        <v>45</v>
      </c>
      <c r="G16" s="2" t="str">
        <f t="shared" si="1"/>
        <v>4575</v>
      </c>
      <c r="H16" s="2">
        <v>457530</v>
      </c>
      <c r="I16" s="2" t="s">
        <v>39</v>
      </c>
      <c r="J16" s="2">
        <v>26814</v>
      </c>
      <c r="K16" s="2" t="s">
        <v>202</v>
      </c>
      <c r="L16" s="2" t="s">
        <v>38</v>
      </c>
      <c r="M16" s="30">
        <v>6.1</v>
      </c>
      <c r="N16" s="23" t="s">
        <v>49</v>
      </c>
      <c r="O16" s="32">
        <v>1300</v>
      </c>
      <c r="P16" s="2" t="s">
        <v>41</v>
      </c>
      <c r="Q16" s="23">
        <v>1</v>
      </c>
      <c r="R16" s="2">
        <v>1</v>
      </c>
      <c r="S16" s="23">
        <v>7</v>
      </c>
      <c r="T16" s="31">
        <v>2600</v>
      </c>
      <c r="U16" s="23">
        <v>1</v>
      </c>
      <c r="V16" s="10">
        <v>2599.9899999999998</v>
      </c>
      <c r="AE16" t="s">
        <v>228</v>
      </c>
      <c r="AF16" t="s">
        <v>244</v>
      </c>
      <c r="AG16" s="33" t="s">
        <v>367</v>
      </c>
      <c r="AH16" s="33" t="s">
        <v>368</v>
      </c>
      <c r="AI16" s="2" t="s">
        <v>203</v>
      </c>
      <c r="AK16" s="2" t="s">
        <v>204</v>
      </c>
      <c r="AL16" s="2" t="s">
        <v>40</v>
      </c>
      <c r="AN16" s="2" t="s">
        <v>38</v>
      </c>
    </row>
    <row r="17" spans="2:40" x14ac:dyDescent="0.25">
      <c r="B17" s="2">
        <v>8865</v>
      </c>
      <c r="C17" s="28" t="s">
        <v>65</v>
      </c>
      <c r="D17" t="s">
        <v>81</v>
      </c>
      <c r="E17" t="s">
        <v>229</v>
      </c>
      <c r="F17" s="2" t="str">
        <f t="shared" si="0"/>
        <v>45</v>
      </c>
      <c r="G17" s="2" t="str">
        <f t="shared" si="1"/>
        <v>4575</v>
      </c>
      <c r="H17" s="2">
        <v>457530</v>
      </c>
      <c r="I17" s="2" t="s">
        <v>39</v>
      </c>
      <c r="J17" s="2">
        <v>26814</v>
      </c>
      <c r="K17" s="2" t="s">
        <v>202</v>
      </c>
      <c r="L17" s="2" t="s">
        <v>38</v>
      </c>
      <c r="M17" s="30">
        <v>6</v>
      </c>
      <c r="N17" s="23" t="s">
        <v>49</v>
      </c>
      <c r="O17" s="32">
        <v>1250</v>
      </c>
      <c r="P17" s="2" t="s">
        <v>41</v>
      </c>
      <c r="Q17" s="23">
        <v>1</v>
      </c>
      <c r="R17" s="2">
        <v>1</v>
      </c>
      <c r="S17" s="23">
        <v>7</v>
      </c>
      <c r="T17" s="31">
        <v>2500</v>
      </c>
      <c r="U17" s="23">
        <v>1</v>
      </c>
      <c r="V17" s="10">
        <v>2499.9499999999998</v>
      </c>
      <c r="AE17" t="s">
        <v>229</v>
      </c>
      <c r="AF17" t="s">
        <v>245</v>
      </c>
      <c r="AG17" s="33" t="s">
        <v>367</v>
      </c>
      <c r="AH17" s="33" t="s">
        <v>368</v>
      </c>
      <c r="AI17" s="2" t="s">
        <v>203</v>
      </c>
      <c r="AK17" s="2" t="s">
        <v>204</v>
      </c>
      <c r="AL17" s="2" t="s">
        <v>40</v>
      </c>
      <c r="AN17" s="2" t="s">
        <v>38</v>
      </c>
    </row>
    <row r="18" spans="2:40" x14ac:dyDescent="0.25">
      <c r="B18" s="2">
        <v>8865</v>
      </c>
      <c r="C18" s="28" t="s">
        <v>66</v>
      </c>
      <c r="D18" t="s">
        <v>82</v>
      </c>
      <c r="E18" t="s">
        <v>230</v>
      </c>
      <c r="F18" s="2" t="str">
        <f t="shared" si="0"/>
        <v>45</v>
      </c>
      <c r="G18" s="2" t="str">
        <f t="shared" si="1"/>
        <v>4575</v>
      </c>
      <c r="H18" s="2">
        <v>457530</v>
      </c>
      <c r="I18" s="2" t="s">
        <v>39</v>
      </c>
      <c r="J18" s="2">
        <v>26814</v>
      </c>
      <c r="K18" s="2" t="s">
        <v>202</v>
      </c>
      <c r="L18" s="2" t="s">
        <v>38</v>
      </c>
      <c r="M18" s="30">
        <v>6.1</v>
      </c>
      <c r="N18" s="23" t="s">
        <v>49</v>
      </c>
      <c r="O18" s="32">
        <v>1400</v>
      </c>
      <c r="P18" s="2" t="s">
        <v>41</v>
      </c>
      <c r="Q18" s="23">
        <v>1</v>
      </c>
      <c r="R18" s="2">
        <v>1</v>
      </c>
      <c r="S18" s="23">
        <v>7</v>
      </c>
      <c r="T18" s="31">
        <v>2800</v>
      </c>
      <c r="U18" s="23">
        <v>1</v>
      </c>
      <c r="V18" s="10">
        <v>2799.95</v>
      </c>
      <c r="AE18" t="s">
        <v>230</v>
      </c>
      <c r="AF18" t="s">
        <v>246</v>
      </c>
      <c r="AG18" s="33" t="s">
        <v>367</v>
      </c>
      <c r="AH18" s="33" t="s">
        <v>368</v>
      </c>
      <c r="AI18" s="2" t="s">
        <v>203</v>
      </c>
      <c r="AK18" s="2" t="s">
        <v>204</v>
      </c>
      <c r="AL18" s="2" t="s">
        <v>40</v>
      </c>
      <c r="AN18" s="2" t="s">
        <v>38</v>
      </c>
    </row>
    <row r="19" spans="2:40" x14ac:dyDescent="0.25">
      <c r="B19" s="2">
        <v>8865</v>
      </c>
      <c r="C19" s="28" t="s">
        <v>67</v>
      </c>
      <c r="D19" t="s">
        <v>83</v>
      </c>
      <c r="E19" t="s">
        <v>231</v>
      </c>
      <c r="F19" s="2" t="str">
        <f t="shared" si="0"/>
        <v>45</v>
      </c>
      <c r="G19" s="2" t="str">
        <f t="shared" si="1"/>
        <v>4575</v>
      </c>
      <c r="H19" s="2">
        <v>457530</v>
      </c>
      <c r="I19" s="2" t="s">
        <v>39</v>
      </c>
      <c r="J19" s="2">
        <v>26814</v>
      </c>
      <c r="K19" s="2" t="s">
        <v>202</v>
      </c>
      <c r="L19" s="2" t="s">
        <v>38</v>
      </c>
      <c r="M19" s="30">
        <v>6</v>
      </c>
      <c r="N19" s="23" t="s">
        <v>49</v>
      </c>
      <c r="O19" s="32">
        <v>1250</v>
      </c>
      <c r="P19" s="2" t="s">
        <v>41</v>
      </c>
      <c r="Q19" s="23">
        <v>1</v>
      </c>
      <c r="R19" s="2">
        <v>1</v>
      </c>
      <c r="S19" s="23">
        <v>7</v>
      </c>
      <c r="T19" s="31">
        <v>2500</v>
      </c>
      <c r="U19" s="23">
        <v>1</v>
      </c>
      <c r="V19" s="10">
        <v>2499.9499999999998</v>
      </c>
      <c r="AE19" t="s">
        <v>231</v>
      </c>
      <c r="AF19" t="s">
        <v>247</v>
      </c>
      <c r="AG19" s="33" t="s">
        <v>367</v>
      </c>
      <c r="AH19" s="33" t="s">
        <v>368</v>
      </c>
      <c r="AI19" s="2" t="s">
        <v>203</v>
      </c>
      <c r="AK19" s="2" t="s">
        <v>204</v>
      </c>
      <c r="AL19" s="2" t="s">
        <v>40</v>
      </c>
      <c r="AN19" s="2" t="s">
        <v>38</v>
      </c>
    </row>
    <row r="20" spans="2:40" x14ac:dyDescent="0.25">
      <c r="B20" s="2">
        <v>8865</v>
      </c>
      <c r="C20" s="28" t="s">
        <v>68</v>
      </c>
      <c r="D20" t="s">
        <v>84</v>
      </c>
      <c r="E20" t="s">
        <v>232</v>
      </c>
      <c r="F20" s="2" t="str">
        <f t="shared" si="0"/>
        <v>45</v>
      </c>
      <c r="G20" s="2" t="str">
        <f t="shared" si="1"/>
        <v>4575</v>
      </c>
      <c r="H20" s="2">
        <v>457530</v>
      </c>
      <c r="I20" s="2" t="s">
        <v>39</v>
      </c>
      <c r="J20" s="2">
        <v>26814</v>
      </c>
      <c r="K20" s="2" t="s">
        <v>202</v>
      </c>
      <c r="L20" s="2" t="s">
        <v>38</v>
      </c>
      <c r="M20" s="30">
        <v>6.1</v>
      </c>
      <c r="N20" s="23" t="s">
        <v>49</v>
      </c>
      <c r="O20" s="32">
        <v>1400</v>
      </c>
      <c r="P20" s="2" t="s">
        <v>41</v>
      </c>
      <c r="Q20" s="23">
        <v>1</v>
      </c>
      <c r="R20" s="2">
        <v>1</v>
      </c>
      <c r="S20" s="23">
        <v>7</v>
      </c>
      <c r="T20" s="31">
        <v>2800</v>
      </c>
      <c r="U20" s="23">
        <v>1</v>
      </c>
      <c r="V20" s="10">
        <v>2799.95</v>
      </c>
      <c r="AE20" t="s">
        <v>232</v>
      </c>
      <c r="AF20" t="s">
        <v>248</v>
      </c>
      <c r="AG20" s="33" t="s">
        <v>367</v>
      </c>
      <c r="AH20" s="33" t="s">
        <v>368</v>
      </c>
      <c r="AI20" s="2" t="s">
        <v>203</v>
      </c>
      <c r="AK20" s="2" t="s">
        <v>204</v>
      </c>
      <c r="AL20" s="2" t="s">
        <v>40</v>
      </c>
      <c r="AN20" s="2" t="s">
        <v>38</v>
      </c>
    </row>
    <row r="21" spans="2:40" x14ac:dyDescent="0.25">
      <c r="B21" s="2">
        <v>8865</v>
      </c>
      <c r="C21" s="28" t="s">
        <v>69</v>
      </c>
      <c r="D21" t="s">
        <v>85</v>
      </c>
      <c r="E21" t="s">
        <v>233</v>
      </c>
      <c r="F21" s="2" t="str">
        <f t="shared" si="0"/>
        <v>45</v>
      </c>
      <c r="G21" s="2" t="str">
        <f t="shared" si="1"/>
        <v>4575</v>
      </c>
      <c r="H21" s="2">
        <v>457530</v>
      </c>
      <c r="I21" s="2" t="s">
        <v>39</v>
      </c>
      <c r="J21" s="2">
        <v>26814</v>
      </c>
      <c r="K21" s="2" t="s">
        <v>202</v>
      </c>
      <c r="L21" s="2" t="s">
        <v>38</v>
      </c>
      <c r="M21" s="30">
        <v>6.5</v>
      </c>
      <c r="N21" s="23" t="s">
        <v>49</v>
      </c>
      <c r="O21" s="32">
        <v>1350</v>
      </c>
      <c r="P21" s="2" t="s">
        <v>41</v>
      </c>
      <c r="Q21" s="23">
        <v>1</v>
      </c>
      <c r="R21" s="2">
        <v>1</v>
      </c>
      <c r="S21" s="23">
        <v>7</v>
      </c>
      <c r="T21" s="31">
        <v>2700</v>
      </c>
      <c r="U21" s="23">
        <v>1</v>
      </c>
      <c r="V21" s="10">
        <v>2699.95</v>
      </c>
      <c r="AE21" t="s">
        <v>233</v>
      </c>
      <c r="AF21" t="s">
        <v>249</v>
      </c>
      <c r="AG21" s="33" t="s">
        <v>367</v>
      </c>
      <c r="AH21" s="33" t="s">
        <v>368</v>
      </c>
      <c r="AI21" s="2" t="s">
        <v>203</v>
      </c>
      <c r="AK21" s="2" t="s">
        <v>204</v>
      </c>
      <c r="AL21" s="2" t="s">
        <v>40</v>
      </c>
      <c r="AN21" s="2" t="s">
        <v>38</v>
      </c>
    </row>
    <row r="22" spans="2:40" x14ac:dyDescent="0.25">
      <c r="B22" s="2">
        <v>8865</v>
      </c>
      <c r="C22" s="28" t="s">
        <v>70</v>
      </c>
      <c r="D22" t="s">
        <v>86</v>
      </c>
      <c r="E22" t="s">
        <v>234</v>
      </c>
      <c r="F22" s="2" t="str">
        <f t="shared" ref="F22:F80" si="2">IF(H22="","",LEFT(H22,2))</f>
        <v>45</v>
      </c>
      <c r="G22" s="2" t="str">
        <f t="shared" ref="G22:G80" si="3">IF(H22="","",LEFT(H22,4))</f>
        <v>4575</v>
      </c>
      <c r="H22" s="2">
        <v>457530</v>
      </c>
      <c r="I22" s="2" t="s">
        <v>39</v>
      </c>
      <c r="J22" s="2">
        <v>26814</v>
      </c>
      <c r="K22" s="2" t="s">
        <v>202</v>
      </c>
      <c r="L22" s="2" t="s">
        <v>38</v>
      </c>
      <c r="M22" s="30">
        <v>6.6</v>
      </c>
      <c r="N22" s="23" t="s">
        <v>49</v>
      </c>
      <c r="O22" s="32">
        <v>1500</v>
      </c>
      <c r="P22" s="2" t="s">
        <v>41</v>
      </c>
      <c r="Q22" s="23">
        <v>1</v>
      </c>
      <c r="R22" s="2">
        <v>1</v>
      </c>
      <c r="S22" s="23">
        <v>7</v>
      </c>
      <c r="T22" s="31">
        <v>3000</v>
      </c>
      <c r="U22" s="23">
        <v>1</v>
      </c>
      <c r="V22" s="10">
        <v>2999.95</v>
      </c>
      <c r="AE22" t="s">
        <v>234</v>
      </c>
      <c r="AF22" t="s">
        <v>250</v>
      </c>
      <c r="AG22" s="33" t="s">
        <v>367</v>
      </c>
      <c r="AH22" s="33" t="s">
        <v>368</v>
      </c>
      <c r="AI22" s="2" t="s">
        <v>203</v>
      </c>
      <c r="AK22" s="2" t="s">
        <v>204</v>
      </c>
      <c r="AL22" s="2" t="s">
        <v>40</v>
      </c>
      <c r="AN22" s="2" t="s">
        <v>38</v>
      </c>
    </row>
    <row r="23" spans="2:40" x14ac:dyDescent="0.25">
      <c r="B23" s="2">
        <v>8865</v>
      </c>
      <c r="C23" s="28" t="s">
        <v>71</v>
      </c>
      <c r="D23" t="s">
        <v>87</v>
      </c>
      <c r="E23" t="s">
        <v>235</v>
      </c>
      <c r="F23" s="2" t="str">
        <f t="shared" si="2"/>
        <v>45</v>
      </c>
      <c r="G23" s="2" t="str">
        <f t="shared" si="3"/>
        <v>4575</v>
      </c>
      <c r="H23" s="2">
        <v>457530</v>
      </c>
      <c r="I23" s="2" t="s">
        <v>39</v>
      </c>
      <c r="J23" s="2">
        <v>26814</v>
      </c>
      <c r="K23" s="2" t="s">
        <v>202</v>
      </c>
      <c r="L23" s="2" t="s">
        <v>38</v>
      </c>
      <c r="M23" s="30">
        <v>6.8</v>
      </c>
      <c r="N23" s="23" t="s">
        <v>49</v>
      </c>
      <c r="O23" s="32">
        <v>1350</v>
      </c>
      <c r="P23" s="2" t="s">
        <v>41</v>
      </c>
      <c r="Q23" s="23">
        <v>1</v>
      </c>
      <c r="R23" s="2">
        <v>1</v>
      </c>
      <c r="S23" s="23">
        <v>7</v>
      </c>
      <c r="T23" s="31">
        <v>2700</v>
      </c>
      <c r="U23" s="23">
        <v>1</v>
      </c>
      <c r="V23" s="10">
        <v>2699.95</v>
      </c>
      <c r="AE23" t="s">
        <v>235</v>
      </c>
      <c r="AF23" t="s">
        <v>251</v>
      </c>
      <c r="AG23" s="33" t="s">
        <v>367</v>
      </c>
      <c r="AH23" s="33" t="s">
        <v>368</v>
      </c>
      <c r="AI23" s="2" t="s">
        <v>203</v>
      </c>
      <c r="AK23" s="2" t="s">
        <v>204</v>
      </c>
      <c r="AL23" s="2" t="s">
        <v>40</v>
      </c>
      <c r="AN23" s="2" t="s">
        <v>38</v>
      </c>
    </row>
    <row r="24" spans="2:40" x14ac:dyDescent="0.25">
      <c r="B24" s="2">
        <v>8865</v>
      </c>
      <c r="C24" s="28" t="s">
        <v>72</v>
      </c>
      <c r="D24" t="s">
        <v>88</v>
      </c>
      <c r="E24" t="s">
        <v>236</v>
      </c>
      <c r="F24" s="2" t="str">
        <f t="shared" si="2"/>
        <v>45</v>
      </c>
      <c r="G24" s="2" t="str">
        <f t="shared" si="3"/>
        <v>4575</v>
      </c>
      <c r="H24" s="2">
        <v>457530</v>
      </c>
      <c r="I24" s="2" t="s">
        <v>39</v>
      </c>
      <c r="J24" s="2">
        <v>26814</v>
      </c>
      <c r="K24" s="2" t="s">
        <v>202</v>
      </c>
      <c r="L24" s="2" t="s">
        <v>38</v>
      </c>
      <c r="M24" s="30">
        <v>6.9</v>
      </c>
      <c r="N24" s="23" t="s">
        <v>49</v>
      </c>
      <c r="O24" s="32">
        <v>1500</v>
      </c>
      <c r="P24" s="2" t="s">
        <v>41</v>
      </c>
      <c r="Q24" s="23">
        <v>1</v>
      </c>
      <c r="R24" s="2">
        <v>1</v>
      </c>
      <c r="S24" s="23">
        <v>7</v>
      </c>
      <c r="T24" s="31">
        <v>3000</v>
      </c>
      <c r="U24" s="23">
        <v>1</v>
      </c>
      <c r="V24" s="10">
        <v>2999.95</v>
      </c>
      <c r="AE24" t="s">
        <v>236</v>
      </c>
      <c r="AF24" t="s">
        <v>252</v>
      </c>
      <c r="AG24" s="33" t="s">
        <v>367</v>
      </c>
      <c r="AH24" s="33" t="s">
        <v>368</v>
      </c>
      <c r="AI24" s="2" t="s">
        <v>203</v>
      </c>
      <c r="AK24" s="2" t="s">
        <v>204</v>
      </c>
      <c r="AL24" s="2" t="s">
        <v>40</v>
      </c>
      <c r="AN24" s="2" t="s">
        <v>38</v>
      </c>
    </row>
    <row r="25" spans="2:40" x14ac:dyDescent="0.25">
      <c r="B25" s="2">
        <v>8865</v>
      </c>
      <c r="C25" s="28" t="s">
        <v>89</v>
      </c>
      <c r="D25" t="s">
        <v>97</v>
      </c>
      <c r="E25" t="s">
        <v>253</v>
      </c>
      <c r="F25" s="2" t="str">
        <f t="shared" si="2"/>
        <v>45</v>
      </c>
      <c r="G25" s="2" t="str">
        <f t="shared" si="3"/>
        <v>4575</v>
      </c>
      <c r="H25" s="2">
        <v>457530</v>
      </c>
      <c r="I25" s="2" t="s">
        <v>39</v>
      </c>
      <c r="J25" s="2">
        <v>26814</v>
      </c>
      <c r="K25" s="2" t="s">
        <v>202</v>
      </c>
      <c r="L25" s="2" t="s">
        <v>38</v>
      </c>
      <c r="M25" s="30">
        <v>7</v>
      </c>
      <c r="N25" s="23" t="s">
        <v>49</v>
      </c>
      <c r="O25" s="32">
        <v>1750</v>
      </c>
      <c r="P25" s="2" t="s">
        <v>41</v>
      </c>
      <c r="Q25" s="23">
        <v>1</v>
      </c>
      <c r="R25" s="2">
        <v>1</v>
      </c>
      <c r="S25" s="23">
        <v>7</v>
      </c>
      <c r="T25" s="31">
        <v>3500</v>
      </c>
      <c r="U25" s="23">
        <v>1</v>
      </c>
      <c r="V25" s="10">
        <v>3499.95</v>
      </c>
      <c r="AE25" t="s">
        <v>253</v>
      </c>
      <c r="AF25" t="s">
        <v>261</v>
      </c>
      <c r="AG25" s="33" t="s">
        <v>369</v>
      </c>
      <c r="AH25" s="33" t="s">
        <v>370</v>
      </c>
      <c r="AI25" s="2" t="s">
        <v>203</v>
      </c>
      <c r="AK25" s="2" t="s">
        <v>204</v>
      </c>
      <c r="AL25" s="2" t="s">
        <v>40</v>
      </c>
      <c r="AN25" s="2" t="s">
        <v>38</v>
      </c>
    </row>
    <row r="26" spans="2:40" x14ac:dyDescent="0.25">
      <c r="B26" s="2">
        <v>8865</v>
      </c>
      <c r="C26" s="28" t="s">
        <v>90</v>
      </c>
      <c r="D26" t="s">
        <v>98</v>
      </c>
      <c r="E26" t="s">
        <v>254</v>
      </c>
      <c r="F26" s="2" t="str">
        <f t="shared" si="2"/>
        <v>45</v>
      </c>
      <c r="G26" s="2" t="str">
        <f t="shared" si="3"/>
        <v>4575</v>
      </c>
      <c r="H26" s="2">
        <v>457530</v>
      </c>
      <c r="I26" s="2" t="s">
        <v>39</v>
      </c>
      <c r="J26" s="2">
        <v>26814</v>
      </c>
      <c r="K26" s="2" t="s">
        <v>202</v>
      </c>
      <c r="L26" s="2" t="s">
        <v>38</v>
      </c>
      <c r="M26" s="30">
        <v>7.1</v>
      </c>
      <c r="N26" s="23" t="s">
        <v>49</v>
      </c>
      <c r="O26" s="32">
        <v>1900</v>
      </c>
      <c r="P26" s="2" t="s">
        <v>41</v>
      </c>
      <c r="Q26" s="23">
        <v>1</v>
      </c>
      <c r="R26" s="2">
        <v>1</v>
      </c>
      <c r="S26" s="23">
        <v>7</v>
      </c>
      <c r="T26" s="31">
        <v>3800</v>
      </c>
      <c r="U26" s="23">
        <v>1</v>
      </c>
      <c r="V26" s="10">
        <v>3799.95</v>
      </c>
      <c r="AE26" t="s">
        <v>254</v>
      </c>
      <c r="AF26" t="s">
        <v>262</v>
      </c>
      <c r="AG26" s="33" t="s">
        <v>369</v>
      </c>
      <c r="AH26" s="33" t="s">
        <v>370</v>
      </c>
      <c r="AI26" s="2" t="s">
        <v>203</v>
      </c>
      <c r="AK26" s="2" t="s">
        <v>204</v>
      </c>
      <c r="AL26" s="2" t="s">
        <v>40</v>
      </c>
      <c r="AN26" s="2" t="s">
        <v>38</v>
      </c>
    </row>
    <row r="27" spans="2:40" x14ac:dyDescent="0.25">
      <c r="B27" s="2">
        <v>8865</v>
      </c>
      <c r="C27" s="28" t="s">
        <v>91</v>
      </c>
      <c r="D27" t="s">
        <v>99</v>
      </c>
      <c r="E27" t="s">
        <v>255</v>
      </c>
      <c r="F27" s="2" t="str">
        <f t="shared" si="2"/>
        <v>45</v>
      </c>
      <c r="G27" s="2" t="str">
        <f t="shared" si="3"/>
        <v>4575</v>
      </c>
      <c r="H27" s="2">
        <v>457530</v>
      </c>
      <c r="I27" s="2" t="s">
        <v>39</v>
      </c>
      <c r="J27" s="2">
        <v>26814</v>
      </c>
      <c r="K27" s="2" t="s">
        <v>202</v>
      </c>
      <c r="L27" s="2" t="s">
        <v>38</v>
      </c>
      <c r="M27" s="30">
        <v>7.5</v>
      </c>
      <c r="N27" s="23" t="s">
        <v>49</v>
      </c>
      <c r="O27" s="32">
        <v>1800</v>
      </c>
      <c r="P27" s="2" t="s">
        <v>41</v>
      </c>
      <c r="Q27" s="23">
        <v>1</v>
      </c>
      <c r="R27" s="2">
        <v>1</v>
      </c>
      <c r="S27" s="23">
        <v>7</v>
      </c>
      <c r="T27" s="31">
        <v>3600</v>
      </c>
      <c r="U27" s="23">
        <v>1</v>
      </c>
      <c r="V27" s="10">
        <v>3599.95</v>
      </c>
      <c r="AE27" t="s">
        <v>255</v>
      </c>
      <c r="AF27" t="s">
        <v>263</v>
      </c>
      <c r="AG27" s="33" t="s">
        <v>369</v>
      </c>
      <c r="AH27" s="33" t="s">
        <v>370</v>
      </c>
      <c r="AI27" s="2" t="s">
        <v>203</v>
      </c>
      <c r="AK27" s="2" t="s">
        <v>204</v>
      </c>
      <c r="AL27" s="2" t="s">
        <v>40</v>
      </c>
      <c r="AN27" s="2" t="s">
        <v>38</v>
      </c>
    </row>
    <row r="28" spans="2:40" x14ac:dyDescent="0.25">
      <c r="B28" s="2">
        <v>8865</v>
      </c>
      <c r="C28" s="28" t="s">
        <v>92</v>
      </c>
      <c r="D28" t="s">
        <v>100</v>
      </c>
      <c r="E28" t="s">
        <v>256</v>
      </c>
      <c r="F28" s="2" t="str">
        <f t="shared" si="2"/>
        <v>45</v>
      </c>
      <c r="G28" s="2" t="str">
        <f t="shared" si="3"/>
        <v>4575</v>
      </c>
      <c r="H28" s="2">
        <v>457530</v>
      </c>
      <c r="I28" s="2" t="s">
        <v>39</v>
      </c>
      <c r="J28" s="2">
        <v>26814</v>
      </c>
      <c r="K28" s="2" t="s">
        <v>202</v>
      </c>
      <c r="L28" s="2" t="s">
        <v>38</v>
      </c>
      <c r="M28" s="30">
        <v>7.6</v>
      </c>
      <c r="N28" s="23" t="s">
        <v>49</v>
      </c>
      <c r="O28" s="32">
        <v>1950</v>
      </c>
      <c r="P28" s="2" t="s">
        <v>41</v>
      </c>
      <c r="Q28" s="23">
        <v>1</v>
      </c>
      <c r="R28" s="2">
        <v>1</v>
      </c>
      <c r="S28" s="23">
        <v>7</v>
      </c>
      <c r="T28" s="31">
        <v>3900</v>
      </c>
      <c r="U28" s="23">
        <v>1</v>
      </c>
      <c r="V28" s="10">
        <v>3899.95</v>
      </c>
      <c r="AE28" t="s">
        <v>256</v>
      </c>
      <c r="AF28" t="s">
        <v>264</v>
      </c>
      <c r="AG28" s="33" t="s">
        <v>369</v>
      </c>
      <c r="AH28" s="33" t="s">
        <v>370</v>
      </c>
      <c r="AI28" s="2" t="s">
        <v>203</v>
      </c>
      <c r="AK28" s="2" t="s">
        <v>204</v>
      </c>
      <c r="AL28" s="2" t="s">
        <v>40</v>
      </c>
      <c r="AN28" s="2" t="s">
        <v>38</v>
      </c>
    </row>
    <row r="29" spans="2:40" x14ac:dyDescent="0.25">
      <c r="B29" s="2">
        <v>8865</v>
      </c>
      <c r="C29" s="28" t="s">
        <v>93</v>
      </c>
      <c r="D29" t="s">
        <v>101</v>
      </c>
      <c r="E29" t="s">
        <v>257</v>
      </c>
      <c r="F29" s="2" t="str">
        <f t="shared" si="2"/>
        <v>45</v>
      </c>
      <c r="G29" s="2" t="str">
        <f t="shared" si="3"/>
        <v>4575</v>
      </c>
      <c r="H29" s="2">
        <v>457530</v>
      </c>
      <c r="I29" s="2" t="s">
        <v>39</v>
      </c>
      <c r="J29" s="2">
        <v>26814</v>
      </c>
      <c r="K29" s="2" t="s">
        <v>202</v>
      </c>
      <c r="L29" s="2" t="s">
        <v>38</v>
      </c>
      <c r="M29" s="30">
        <v>7.5</v>
      </c>
      <c r="N29" s="23" t="s">
        <v>49</v>
      </c>
      <c r="O29" s="32">
        <v>1800</v>
      </c>
      <c r="P29" s="2" t="s">
        <v>41</v>
      </c>
      <c r="Q29" s="23">
        <v>1</v>
      </c>
      <c r="R29" s="2">
        <v>1</v>
      </c>
      <c r="S29" s="23">
        <v>7</v>
      </c>
      <c r="T29" s="31">
        <v>3600</v>
      </c>
      <c r="U29" s="23">
        <v>1</v>
      </c>
      <c r="V29" s="10">
        <v>3599.95</v>
      </c>
      <c r="AE29" t="s">
        <v>257</v>
      </c>
      <c r="AF29" t="s">
        <v>265</v>
      </c>
      <c r="AG29" s="33" t="s">
        <v>369</v>
      </c>
      <c r="AH29" s="33" t="s">
        <v>370</v>
      </c>
      <c r="AI29" s="2" t="s">
        <v>203</v>
      </c>
      <c r="AK29" s="2" t="s">
        <v>204</v>
      </c>
      <c r="AL29" s="2" t="s">
        <v>40</v>
      </c>
      <c r="AN29" s="2" t="s">
        <v>38</v>
      </c>
    </row>
    <row r="30" spans="2:40" x14ac:dyDescent="0.25">
      <c r="B30" s="2">
        <v>8865</v>
      </c>
      <c r="C30" s="28" t="s">
        <v>94</v>
      </c>
      <c r="D30" t="s">
        <v>102</v>
      </c>
      <c r="E30" t="s">
        <v>258</v>
      </c>
      <c r="F30" s="2" t="str">
        <f t="shared" si="2"/>
        <v>45</v>
      </c>
      <c r="G30" s="2" t="str">
        <f t="shared" si="3"/>
        <v>4575</v>
      </c>
      <c r="H30" s="2">
        <v>457530</v>
      </c>
      <c r="I30" s="2" t="s">
        <v>39</v>
      </c>
      <c r="J30" s="2">
        <v>26814</v>
      </c>
      <c r="K30" s="2" t="s">
        <v>202</v>
      </c>
      <c r="L30" s="2" t="s">
        <v>38</v>
      </c>
      <c r="M30" s="30">
        <v>7.6</v>
      </c>
      <c r="N30" s="23" t="s">
        <v>49</v>
      </c>
      <c r="O30" s="32">
        <v>1950</v>
      </c>
      <c r="P30" s="2" t="s">
        <v>41</v>
      </c>
      <c r="Q30" s="23">
        <v>1</v>
      </c>
      <c r="R30" s="2">
        <v>1</v>
      </c>
      <c r="S30" s="23">
        <v>7</v>
      </c>
      <c r="T30" s="31">
        <v>3900</v>
      </c>
      <c r="U30" s="23">
        <v>1</v>
      </c>
      <c r="V30" s="10">
        <v>3899.95</v>
      </c>
      <c r="AE30" t="s">
        <v>258</v>
      </c>
      <c r="AF30" t="s">
        <v>266</v>
      </c>
      <c r="AG30" s="33" t="s">
        <v>369</v>
      </c>
      <c r="AH30" s="33" t="s">
        <v>370</v>
      </c>
      <c r="AI30" s="2" t="s">
        <v>203</v>
      </c>
      <c r="AK30" s="2" t="s">
        <v>204</v>
      </c>
      <c r="AL30" s="2" t="s">
        <v>40</v>
      </c>
      <c r="AN30" s="2" t="s">
        <v>38</v>
      </c>
    </row>
    <row r="31" spans="2:40" x14ac:dyDescent="0.25">
      <c r="B31" s="2">
        <v>8865</v>
      </c>
      <c r="C31" s="28" t="s">
        <v>95</v>
      </c>
      <c r="D31" t="s">
        <v>103</v>
      </c>
      <c r="E31" t="s">
        <v>259</v>
      </c>
      <c r="F31" s="2" t="str">
        <f t="shared" si="2"/>
        <v>45</v>
      </c>
      <c r="G31" s="2" t="str">
        <f t="shared" si="3"/>
        <v>4575</v>
      </c>
      <c r="H31" s="2">
        <v>457530</v>
      </c>
      <c r="I31" s="2" t="s">
        <v>39</v>
      </c>
      <c r="J31" s="2">
        <v>26814</v>
      </c>
      <c r="K31" s="2" t="s">
        <v>202</v>
      </c>
      <c r="L31" s="2" t="s">
        <v>38</v>
      </c>
      <c r="M31" s="30">
        <v>7.5</v>
      </c>
      <c r="N31" s="23" t="s">
        <v>49</v>
      </c>
      <c r="O31" s="32">
        <v>1850</v>
      </c>
      <c r="P31" s="2" t="s">
        <v>41</v>
      </c>
      <c r="Q31" s="23">
        <v>1</v>
      </c>
      <c r="R31" s="2">
        <v>1</v>
      </c>
      <c r="S31" s="23">
        <v>7</v>
      </c>
      <c r="T31" s="31">
        <v>3700</v>
      </c>
      <c r="U31" s="23">
        <v>1</v>
      </c>
      <c r="V31" s="10">
        <v>3699.95</v>
      </c>
      <c r="AE31" t="s">
        <v>259</v>
      </c>
      <c r="AF31" t="s">
        <v>267</v>
      </c>
      <c r="AG31" s="33" t="s">
        <v>369</v>
      </c>
      <c r="AH31" s="33" t="s">
        <v>370</v>
      </c>
      <c r="AI31" s="2" t="s">
        <v>203</v>
      </c>
      <c r="AK31" s="2" t="s">
        <v>204</v>
      </c>
      <c r="AL31" s="2" t="s">
        <v>40</v>
      </c>
      <c r="AN31" s="2" t="s">
        <v>38</v>
      </c>
    </row>
    <row r="32" spans="2:40" x14ac:dyDescent="0.25">
      <c r="B32" s="2">
        <v>8865</v>
      </c>
      <c r="C32" s="28" t="s">
        <v>96</v>
      </c>
      <c r="D32" t="s">
        <v>104</v>
      </c>
      <c r="E32" t="s">
        <v>260</v>
      </c>
      <c r="F32" s="2" t="str">
        <f t="shared" si="2"/>
        <v>45</v>
      </c>
      <c r="G32" s="2" t="str">
        <f t="shared" si="3"/>
        <v>4575</v>
      </c>
      <c r="H32" s="2">
        <v>457530</v>
      </c>
      <c r="I32" s="2" t="s">
        <v>39</v>
      </c>
      <c r="J32" s="2">
        <v>26814</v>
      </c>
      <c r="K32" s="2" t="s">
        <v>202</v>
      </c>
      <c r="L32" s="2" t="s">
        <v>38</v>
      </c>
      <c r="M32" s="30">
        <v>7.6</v>
      </c>
      <c r="N32" s="23" t="s">
        <v>49</v>
      </c>
      <c r="O32" s="32">
        <v>2000</v>
      </c>
      <c r="P32" s="2" t="s">
        <v>41</v>
      </c>
      <c r="Q32" s="23">
        <v>1</v>
      </c>
      <c r="R32" s="2">
        <v>1</v>
      </c>
      <c r="S32" s="23">
        <v>7</v>
      </c>
      <c r="T32" s="31">
        <v>4000</v>
      </c>
      <c r="U32" s="23">
        <v>1</v>
      </c>
      <c r="V32" s="10">
        <v>3999.95</v>
      </c>
      <c r="AE32" t="s">
        <v>260</v>
      </c>
      <c r="AF32" t="s">
        <v>268</v>
      </c>
      <c r="AG32" s="33" t="s">
        <v>369</v>
      </c>
      <c r="AH32" s="33" t="s">
        <v>370</v>
      </c>
      <c r="AI32" s="2" t="s">
        <v>203</v>
      </c>
      <c r="AK32" s="2" t="s">
        <v>204</v>
      </c>
      <c r="AL32" s="2" t="s">
        <v>40</v>
      </c>
      <c r="AN32" s="2" t="s">
        <v>38</v>
      </c>
    </row>
    <row r="33" spans="2:40" x14ac:dyDescent="0.25">
      <c r="B33" s="2">
        <v>8865</v>
      </c>
      <c r="C33" s="28" t="s">
        <v>105</v>
      </c>
      <c r="D33" t="s">
        <v>121</v>
      </c>
      <c r="E33" t="s">
        <v>269</v>
      </c>
      <c r="F33" s="2" t="str">
        <f t="shared" si="2"/>
        <v>45</v>
      </c>
      <c r="G33" s="2" t="str">
        <f t="shared" si="3"/>
        <v>4575</v>
      </c>
      <c r="H33" s="2">
        <v>457530</v>
      </c>
      <c r="I33" s="2" t="s">
        <v>39</v>
      </c>
      <c r="J33" s="2">
        <v>26814</v>
      </c>
      <c r="K33" s="2" t="s">
        <v>202</v>
      </c>
      <c r="L33" s="2" t="s">
        <v>38</v>
      </c>
      <c r="M33" s="30">
        <v>8</v>
      </c>
      <c r="N33" s="23" t="s">
        <v>49</v>
      </c>
      <c r="O33" s="32">
        <v>2600</v>
      </c>
      <c r="P33" s="2" t="s">
        <v>41</v>
      </c>
      <c r="Q33" s="23">
        <v>1</v>
      </c>
      <c r="R33" s="2">
        <v>1</v>
      </c>
      <c r="S33" s="23">
        <v>7</v>
      </c>
      <c r="T33" s="31">
        <v>5200</v>
      </c>
      <c r="U33" s="23">
        <v>1</v>
      </c>
      <c r="V33" s="10">
        <v>5199.95</v>
      </c>
      <c r="AE33" t="s">
        <v>269</v>
      </c>
      <c r="AF33" t="s">
        <v>285</v>
      </c>
      <c r="AG33" s="33" t="s">
        <v>371</v>
      </c>
      <c r="AH33" s="33" t="s">
        <v>372</v>
      </c>
      <c r="AI33" s="2" t="s">
        <v>203</v>
      </c>
      <c r="AK33" s="2" t="s">
        <v>204</v>
      </c>
      <c r="AL33" s="2" t="s">
        <v>40</v>
      </c>
      <c r="AN33" s="2" t="s">
        <v>38</v>
      </c>
    </row>
    <row r="34" spans="2:40" x14ac:dyDescent="0.25">
      <c r="B34" s="2">
        <v>8865</v>
      </c>
      <c r="C34" s="28" t="s">
        <v>106</v>
      </c>
      <c r="D34" t="s">
        <v>122</v>
      </c>
      <c r="E34" t="s">
        <v>270</v>
      </c>
      <c r="F34" s="2" t="str">
        <f t="shared" si="2"/>
        <v>45</v>
      </c>
      <c r="G34" s="2" t="str">
        <f t="shared" si="3"/>
        <v>4575</v>
      </c>
      <c r="H34" s="2">
        <v>457530</v>
      </c>
      <c r="I34" s="2" t="s">
        <v>39</v>
      </c>
      <c r="J34" s="2">
        <v>26814</v>
      </c>
      <c r="K34" s="2" t="s">
        <v>202</v>
      </c>
      <c r="L34" s="2" t="s">
        <v>38</v>
      </c>
      <c r="M34" s="30">
        <v>8.1</v>
      </c>
      <c r="N34" s="23" t="s">
        <v>49</v>
      </c>
      <c r="O34" s="32">
        <v>2750</v>
      </c>
      <c r="P34" s="2" t="s">
        <v>41</v>
      </c>
      <c r="Q34" s="23">
        <v>1</v>
      </c>
      <c r="R34" s="2">
        <v>1</v>
      </c>
      <c r="S34" s="23">
        <v>7</v>
      </c>
      <c r="T34" s="31">
        <v>5500</v>
      </c>
      <c r="U34" s="23">
        <v>1</v>
      </c>
      <c r="V34" s="10">
        <v>5499.95</v>
      </c>
      <c r="AE34" t="s">
        <v>270</v>
      </c>
      <c r="AF34" t="s">
        <v>286</v>
      </c>
      <c r="AG34" s="33" t="s">
        <v>371</v>
      </c>
      <c r="AH34" s="33" t="s">
        <v>372</v>
      </c>
      <c r="AI34" s="2" t="s">
        <v>203</v>
      </c>
      <c r="AK34" s="2" t="s">
        <v>204</v>
      </c>
      <c r="AL34" s="2" t="s">
        <v>40</v>
      </c>
      <c r="AN34" s="2" t="s">
        <v>38</v>
      </c>
    </row>
    <row r="35" spans="2:40" x14ac:dyDescent="0.25">
      <c r="B35" s="2">
        <v>8865</v>
      </c>
      <c r="C35" s="28" t="s">
        <v>107</v>
      </c>
      <c r="D35" t="s">
        <v>123</v>
      </c>
      <c r="E35" t="s">
        <v>271</v>
      </c>
      <c r="F35" s="2" t="str">
        <f t="shared" si="2"/>
        <v>45</v>
      </c>
      <c r="G35" s="2" t="str">
        <f t="shared" si="3"/>
        <v>4575</v>
      </c>
      <c r="H35" s="2">
        <v>457530</v>
      </c>
      <c r="I35" s="2" t="s">
        <v>39</v>
      </c>
      <c r="J35" s="2">
        <v>26814</v>
      </c>
      <c r="K35" s="2" t="s">
        <v>202</v>
      </c>
      <c r="L35" s="2" t="s">
        <v>38</v>
      </c>
      <c r="M35" s="30">
        <v>8.5</v>
      </c>
      <c r="N35" s="23" t="s">
        <v>49</v>
      </c>
      <c r="O35" s="32">
        <v>2650</v>
      </c>
      <c r="P35" s="2" t="s">
        <v>41</v>
      </c>
      <c r="Q35" s="23">
        <v>1</v>
      </c>
      <c r="R35" s="2">
        <v>1</v>
      </c>
      <c r="S35" s="23">
        <v>7</v>
      </c>
      <c r="T35" s="31">
        <v>5300</v>
      </c>
      <c r="U35" s="23">
        <v>1</v>
      </c>
      <c r="V35" s="10">
        <v>5299.95</v>
      </c>
      <c r="AE35" t="s">
        <v>271</v>
      </c>
      <c r="AF35" t="s">
        <v>287</v>
      </c>
      <c r="AG35" s="33" t="s">
        <v>371</v>
      </c>
      <c r="AH35" s="33" t="s">
        <v>372</v>
      </c>
      <c r="AI35" s="2" t="s">
        <v>203</v>
      </c>
      <c r="AK35" s="2" t="s">
        <v>204</v>
      </c>
      <c r="AL35" s="2" t="s">
        <v>40</v>
      </c>
      <c r="AN35" s="2" t="s">
        <v>38</v>
      </c>
    </row>
    <row r="36" spans="2:40" x14ac:dyDescent="0.25">
      <c r="B36" s="2">
        <v>8865</v>
      </c>
      <c r="C36" s="28" t="s">
        <v>108</v>
      </c>
      <c r="D36" t="s">
        <v>124</v>
      </c>
      <c r="E36" t="s">
        <v>272</v>
      </c>
      <c r="F36" s="2" t="str">
        <f t="shared" si="2"/>
        <v>45</v>
      </c>
      <c r="G36" s="2" t="str">
        <f t="shared" si="3"/>
        <v>4575</v>
      </c>
      <c r="H36" s="2">
        <v>457530</v>
      </c>
      <c r="I36" s="2" t="s">
        <v>39</v>
      </c>
      <c r="J36" s="2">
        <v>26814</v>
      </c>
      <c r="K36" s="2" t="s">
        <v>202</v>
      </c>
      <c r="L36" s="2" t="s">
        <v>38</v>
      </c>
      <c r="M36" s="30">
        <v>8.6</v>
      </c>
      <c r="N36" s="23" t="s">
        <v>49</v>
      </c>
      <c r="O36" s="32">
        <v>2800</v>
      </c>
      <c r="P36" s="2" t="s">
        <v>41</v>
      </c>
      <c r="Q36" s="23">
        <v>1</v>
      </c>
      <c r="R36" s="2">
        <v>1</v>
      </c>
      <c r="S36" s="23">
        <v>7</v>
      </c>
      <c r="T36" s="31">
        <v>5600</v>
      </c>
      <c r="U36" s="23">
        <v>1</v>
      </c>
      <c r="V36" s="10">
        <v>5599.95</v>
      </c>
      <c r="AE36" t="s">
        <v>272</v>
      </c>
      <c r="AF36" t="s">
        <v>288</v>
      </c>
      <c r="AG36" s="33" t="s">
        <v>371</v>
      </c>
      <c r="AH36" s="33" t="s">
        <v>372</v>
      </c>
      <c r="AI36" s="2" t="s">
        <v>203</v>
      </c>
      <c r="AK36" s="2" t="s">
        <v>204</v>
      </c>
      <c r="AL36" s="2" t="s">
        <v>40</v>
      </c>
      <c r="AN36" s="2" t="s">
        <v>38</v>
      </c>
    </row>
    <row r="37" spans="2:40" x14ac:dyDescent="0.25">
      <c r="B37" s="2">
        <v>8865</v>
      </c>
      <c r="C37" s="28" t="s">
        <v>109</v>
      </c>
      <c r="D37" t="s">
        <v>125</v>
      </c>
      <c r="E37" t="s">
        <v>273</v>
      </c>
      <c r="F37" s="2" t="str">
        <f t="shared" si="2"/>
        <v>45</v>
      </c>
      <c r="G37" s="2" t="str">
        <f t="shared" si="3"/>
        <v>4575</v>
      </c>
      <c r="H37" s="2">
        <v>457530</v>
      </c>
      <c r="I37" s="2" t="s">
        <v>39</v>
      </c>
      <c r="J37" s="2">
        <v>26814</v>
      </c>
      <c r="K37" s="2" t="s">
        <v>202</v>
      </c>
      <c r="L37" s="2" t="s">
        <v>38</v>
      </c>
      <c r="M37" s="30">
        <v>8.5</v>
      </c>
      <c r="N37" s="23" t="s">
        <v>49</v>
      </c>
      <c r="O37" s="32">
        <v>2650</v>
      </c>
      <c r="P37" s="2" t="s">
        <v>41</v>
      </c>
      <c r="Q37" s="23">
        <v>1</v>
      </c>
      <c r="R37" s="2">
        <v>1</v>
      </c>
      <c r="S37" s="23">
        <v>7</v>
      </c>
      <c r="T37" s="31">
        <v>5300</v>
      </c>
      <c r="U37" s="23">
        <v>1</v>
      </c>
      <c r="V37" s="10">
        <v>5299.95</v>
      </c>
      <c r="AE37" t="s">
        <v>273</v>
      </c>
      <c r="AF37" t="s">
        <v>289</v>
      </c>
      <c r="AG37" s="33" t="s">
        <v>371</v>
      </c>
      <c r="AH37" s="33" t="s">
        <v>372</v>
      </c>
      <c r="AI37" s="2" t="s">
        <v>203</v>
      </c>
      <c r="AK37" s="2" t="s">
        <v>204</v>
      </c>
      <c r="AL37" s="2" t="s">
        <v>40</v>
      </c>
      <c r="AN37" s="2" t="s">
        <v>38</v>
      </c>
    </row>
    <row r="38" spans="2:40" x14ac:dyDescent="0.25">
      <c r="B38" s="2">
        <v>8865</v>
      </c>
      <c r="C38" s="28" t="s">
        <v>110</v>
      </c>
      <c r="D38" t="s">
        <v>126</v>
      </c>
      <c r="E38" t="s">
        <v>274</v>
      </c>
      <c r="F38" s="2" t="str">
        <f t="shared" si="2"/>
        <v>45</v>
      </c>
      <c r="G38" s="2" t="str">
        <f t="shared" si="3"/>
        <v>4575</v>
      </c>
      <c r="H38" s="2">
        <v>457530</v>
      </c>
      <c r="I38" s="2" t="s">
        <v>39</v>
      </c>
      <c r="J38" s="2">
        <v>26814</v>
      </c>
      <c r="K38" s="2" t="s">
        <v>202</v>
      </c>
      <c r="L38" s="2" t="s">
        <v>38</v>
      </c>
      <c r="M38" s="30">
        <v>8.6</v>
      </c>
      <c r="N38" s="23" t="s">
        <v>49</v>
      </c>
      <c r="O38" s="32">
        <v>2800</v>
      </c>
      <c r="P38" s="2" t="s">
        <v>41</v>
      </c>
      <c r="Q38" s="23">
        <v>1</v>
      </c>
      <c r="R38" s="2">
        <v>1</v>
      </c>
      <c r="S38" s="23">
        <v>7</v>
      </c>
      <c r="T38" s="31">
        <v>5600</v>
      </c>
      <c r="U38" s="23">
        <v>1</v>
      </c>
      <c r="V38" s="10">
        <v>5599.95</v>
      </c>
      <c r="AE38" t="s">
        <v>274</v>
      </c>
      <c r="AF38" t="s">
        <v>290</v>
      </c>
      <c r="AG38" s="33" t="s">
        <v>371</v>
      </c>
      <c r="AH38" s="33" t="s">
        <v>372</v>
      </c>
      <c r="AI38" s="2" t="s">
        <v>203</v>
      </c>
      <c r="AK38" s="2" t="s">
        <v>204</v>
      </c>
      <c r="AL38" s="2" t="s">
        <v>40</v>
      </c>
      <c r="AN38" s="2" t="s">
        <v>38</v>
      </c>
    </row>
    <row r="39" spans="2:40" x14ac:dyDescent="0.25">
      <c r="B39" s="2">
        <v>8865</v>
      </c>
      <c r="C39" s="28" t="s">
        <v>111</v>
      </c>
      <c r="D39" t="s">
        <v>127</v>
      </c>
      <c r="E39" t="s">
        <v>275</v>
      </c>
      <c r="F39" s="2" t="str">
        <f t="shared" si="2"/>
        <v>45</v>
      </c>
      <c r="G39" s="2" t="str">
        <f t="shared" si="3"/>
        <v>4575</v>
      </c>
      <c r="H39" s="2">
        <v>457530</v>
      </c>
      <c r="I39" s="2" t="s">
        <v>39</v>
      </c>
      <c r="J39" s="2">
        <v>26814</v>
      </c>
      <c r="K39" s="2" t="s">
        <v>202</v>
      </c>
      <c r="L39" s="2" t="s">
        <v>38</v>
      </c>
      <c r="M39" s="30">
        <v>8.5</v>
      </c>
      <c r="N39" s="23" t="s">
        <v>49</v>
      </c>
      <c r="O39" s="32">
        <v>2650</v>
      </c>
      <c r="P39" s="2" t="s">
        <v>41</v>
      </c>
      <c r="Q39" s="23">
        <v>1</v>
      </c>
      <c r="R39" s="2">
        <v>1</v>
      </c>
      <c r="S39" s="23">
        <v>7</v>
      </c>
      <c r="T39" s="31">
        <v>5300</v>
      </c>
      <c r="U39" s="23">
        <v>1</v>
      </c>
      <c r="V39" s="10">
        <v>5299.95</v>
      </c>
      <c r="AE39" t="s">
        <v>275</v>
      </c>
      <c r="AF39" t="s">
        <v>291</v>
      </c>
      <c r="AG39" s="33" t="s">
        <v>371</v>
      </c>
      <c r="AH39" s="33" t="s">
        <v>372</v>
      </c>
      <c r="AI39" s="2" t="s">
        <v>203</v>
      </c>
      <c r="AK39" s="2" t="s">
        <v>204</v>
      </c>
      <c r="AL39" s="2" t="s">
        <v>40</v>
      </c>
      <c r="AN39" s="2" t="s">
        <v>38</v>
      </c>
    </row>
    <row r="40" spans="2:40" x14ac:dyDescent="0.25">
      <c r="B40" s="2">
        <v>8865</v>
      </c>
      <c r="C40" s="28" t="s">
        <v>112</v>
      </c>
      <c r="D40" t="s">
        <v>128</v>
      </c>
      <c r="E40" t="s">
        <v>276</v>
      </c>
      <c r="F40" s="2" t="str">
        <f t="shared" si="2"/>
        <v>45</v>
      </c>
      <c r="G40" s="2" t="str">
        <f t="shared" si="3"/>
        <v>4575</v>
      </c>
      <c r="H40" s="2">
        <v>457530</v>
      </c>
      <c r="I40" s="2" t="s">
        <v>39</v>
      </c>
      <c r="J40" s="2">
        <v>26814</v>
      </c>
      <c r="K40" s="2" t="s">
        <v>202</v>
      </c>
      <c r="L40" s="2" t="s">
        <v>38</v>
      </c>
      <c r="M40" s="30">
        <v>8.6</v>
      </c>
      <c r="N40" s="23" t="s">
        <v>49</v>
      </c>
      <c r="O40" s="32">
        <v>2800</v>
      </c>
      <c r="P40" s="2" t="s">
        <v>41</v>
      </c>
      <c r="Q40" s="23">
        <v>1</v>
      </c>
      <c r="R40" s="2">
        <v>1</v>
      </c>
      <c r="S40" s="23">
        <v>7</v>
      </c>
      <c r="T40" s="31">
        <v>5600</v>
      </c>
      <c r="U40" s="23">
        <v>1</v>
      </c>
      <c r="V40" s="10">
        <v>5599.95</v>
      </c>
      <c r="AE40" t="s">
        <v>276</v>
      </c>
      <c r="AF40" t="s">
        <v>292</v>
      </c>
      <c r="AG40" s="33" t="s">
        <v>371</v>
      </c>
      <c r="AH40" s="33" t="s">
        <v>372</v>
      </c>
      <c r="AI40" s="2" t="s">
        <v>203</v>
      </c>
      <c r="AK40" s="2" t="s">
        <v>204</v>
      </c>
      <c r="AL40" s="2" t="s">
        <v>40</v>
      </c>
      <c r="AN40" s="2" t="s">
        <v>38</v>
      </c>
    </row>
    <row r="41" spans="2:40" x14ac:dyDescent="0.25">
      <c r="B41" s="2">
        <v>8865</v>
      </c>
      <c r="C41" s="28" t="s">
        <v>113</v>
      </c>
      <c r="D41" t="s">
        <v>129</v>
      </c>
      <c r="E41" t="s">
        <v>277</v>
      </c>
      <c r="F41" s="2" t="str">
        <f t="shared" si="2"/>
        <v>45</v>
      </c>
      <c r="G41" s="2" t="str">
        <f t="shared" si="3"/>
        <v>4575</v>
      </c>
      <c r="H41" s="2">
        <v>457530</v>
      </c>
      <c r="I41" s="2" t="s">
        <v>39</v>
      </c>
      <c r="J41" s="2">
        <v>26814</v>
      </c>
      <c r="K41" s="2" t="s">
        <v>202</v>
      </c>
      <c r="L41" s="2" t="s">
        <v>38</v>
      </c>
      <c r="M41" s="30">
        <v>8.5</v>
      </c>
      <c r="N41" s="23" t="s">
        <v>49</v>
      </c>
      <c r="O41" s="32">
        <v>2750</v>
      </c>
      <c r="P41" s="2" t="s">
        <v>41</v>
      </c>
      <c r="Q41" s="23">
        <v>1</v>
      </c>
      <c r="R41" s="2">
        <v>1</v>
      </c>
      <c r="S41" s="23">
        <v>7</v>
      </c>
      <c r="T41" s="31">
        <v>5500</v>
      </c>
      <c r="U41" s="23">
        <v>1</v>
      </c>
      <c r="V41" s="10">
        <v>5499.95</v>
      </c>
      <c r="AE41" t="s">
        <v>277</v>
      </c>
      <c r="AF41" t="s">
        <v>293</v>
      </c>
      <c r="AG41" s="33" t="s">
        <v>371</v>
      </c>
      <c r="AH41" s="33" t="s">
        <v>372</v>
      </c>
      <c r="AI41" s="2" t="s">
        <v>203</v>
      </c>
      <c r="AK41" s="2" t="s">
        <v>204</v>
      </c>
      <c r="AL41" s="2" t="s">
        <v>40</v>
      </c>
      <c r="AN41" s="2" t="s">
        <v>38</v>
      </c>
    </row>
    <row r="42" spans="2:40" x14ac:dyDescent="0.25">
      <c r="B42" s="2">
        <v>8865</v>
      </c>
      <c r="C42" s="28" t="s">
        <v>114</v>
      </c>
      <c r="D42" t="s">
        <v>130</v>
      </c>
      <c r="E42" t="s">
        <v>278</v>
      </c>
      <c r="F42" s="2" t="str">
        <f t="shared" si="2"/>
        <v>45</v>
      </c>
      <c r="G42" s="2" t="str">
        <f t="shared" si="3"/>
        <v>4575</v>
      </c>
      <c r="H42" s="2">
        <v>457530</v>
      </c>
      <c r="I42" s="2" t="s">
        <v>39</v>
      </c>
      <c r="J42" s="2">
        <v>26814</v>
      </c>
      <c r="K42" s="2" t="s">
        <v>202</v>
      </c>
      <c r="L42" s="2" t="s">
        <v>38</v>
      </c>
      <c r="M42" s="30">
        <v>8.6</v>
      </c>
      <c r="N42" s="23" t="s">
        <v>49</v>
      </c>
      <c r="O42" s="32">
        <v>2900</v>
      </c>
      <c r="P42" s="2" t="s">
        <v>41</v>
      </c>
      <c r="Q42" s="23">
        <v>1</v>
      </c>
      <c r="R42" s="2">
        <v>1</v>
      </c>
      <c r="S42" s="23">
        <v>7</v>
      </c>
      <c r="T42" s="31">
        <v>5800</v>
      </c>
      <c r="U42" s="23">
        <v>1</v>
      </c>
      <c r="V42" s="10">
        <v>5799.95</v>
      </c>
      <c r="AE42" t="s">
        <v>278</v>
      </c>
      <c r="AF42" t="s">
        <v>294</v>
      </c>
      <c r="AG42" s="33" t="s">
        <v>371</v>
      </c>
      <c r="AH42" s="33" t="s">
        <v>372</v>
      </c>
      <c r="AI42" s="2" t="s">
        <v>203</v>
      </c>
      <c r="AK42" s="2" t="s">
        <v>204</v>
      </c>
      <c r="AL42" s="2" t="s">
        <v>40</v>
      </c>
      <c r="AN42" s="2" t="s">
        <v>38</v>
      </c>
    </row>
    <row r="43" spans="2:40" x14ac:dyDescent="0.25">
      <c r="B43" s="2">
        <v>8865</v>
      </c>
      <c r="C43" s="28" t="s">
        <v>115</v>
      </c>
      <c r="D43" t="s">
        <v>131</v>
      </c>
      <c r="E43" t="s">
        <v>279</v>
      </c>
      <c r="F43" s="2" t="str">
        <f t="shared" si="2"/>
        <v>45</v>
      </c>
      <c r="G43" s="2" t="str">
        <f t="shared" si="3"/>
        <v>4575</v>
      </c>
      <c r="H43" s="2">
        <v>457530</v>
      </c>
      <c r="I43" s="2" t="s">
        <v>39</v>
      </c>
      <c r="J43" s="2">
        <v>26814</v>
      </c>
      <c r="K43" s="2" t="s">
        <v>202</v>
      </c>
      <c r="L43" s="2" t="s">
        <v>38</v>
      </c>
      <c r="M43" s="30">
        <v>8.5</v>
      </c>
      <c r="N43" s="23" t="s">
        <v>49</v>
      </c>
      <c r="O43" s="32">
        <v>2750</v>
      </c>
      <c r="P43" s="2" t="s">
        <v>41</v>
      </c>
      <c r="Q43" s="23">
        <v>1</v>
      </c>
      <c r="R43" s="2">
        <v>1</v>
      </c>
      <c r="S43" s="23">
        <v>7</v>
      </c>
      <c r="T43" s="31">
        <v>5500</v>
      </c>
      <c r="U43" s="23">
        <v>1</v>
      </c>
      <c r="V43" s="10">
        <v>5499.95</v>
      </c>
      <c r="AE43" t="s">
        <v>279</v>
      </c>
      <c r="AF43" t="s">
        <v>295</v>
      </c>
      <c r="AG43" s="33" t="s">
        <v>371</v>
      </c>
      <c r="AH43" s="33" t="s">
        <v>372</v>
      </c>
      <c r="AI43" s="2" t="s">
        <v>203</v>
      </c>
      <c r="AK43" s="2" t="s">
        <v>204</v>
      </c>
      <c r="AL43" s="2" t="s">
        <v>40</v>
      </c>
      <c r="AN43" s="2" t="s">
        <v>38</v>
      </c>
    </row>
    <row r="44" spans="2:40" x14ac:dyDescent="0.25">
      <c r="B44" s="2">
        <v>8865</v>
      </c>
      <c r="C44" s="28" t="s">
        <v>116</v>
      </c>
      <c r="D44" t="s">
        <v>132</v>
      </c>
      <c r="E44" t="s">
        <v>280</v>
      </c>
      <c r="F44" s="2" t="str">
        <f t="shared" si="2"/>
        <v>45</v>
      </c>
      <c r="G44" s="2" t="str">
        <f t="shared" si="3"/>
        <v>4575</v>
      </c>
      <c r="H44" s="2">
        <v>457530</v>
      </c>
      <c r="I44" s="2" t="s">
        <v>39</v>
      </c>
      <c r="J44" s="2">
        <v>26814</v>
      </c>
      <c r="K44" s="2" t="s">
        <v>202</v>
      </c>
      <c r="L44" s="2" t="s">
        <v>38</v>
      </c>
      <c r="M44" s="30">
        <v>8.6</v>
      </c>
      <c r="N44" s="23" t="s">
        <v>49</v>
      </c>
      <c r="O44" s="32">
        <v>2900</v>
      </c>
      <c r="P44" s="2" t="s">
        <v>41</v>
      </c>
      <c r="Q44" s="23">
        <v>1</v>
      </c>
      <c r="R44" s="2">
        <v>1</v>
      </c>
      <c r="S44" s="23">
        <v>7</v>
      </c>
      <c r="T44" s="31">
        <v>5800</v>
      </c>
      <c r="U44" s="23">
        <v>1</v>
      </c>
      <c r="V44" s="10">
        <v>5799.95</v>
      </c>
      <c r="AE44" t="s">
        <v>280</v>
      </c>
      <c r="AF44" t="s">
        <v>296</v>
      </c>
      <c r="AG44" s="33" t="s">
        <v>371</v>
      </c>
      <c r="AH44" s="33" t="s">
        <v>372</v>
      </c>
      <c r="AI44" s="2" t="s">
        <v>203</v>
      </c>
      <c r="AK44" s="2" t="s">
        <v>204</v>
      </c>
      <c r="AL44" s="2" t="s">
        <v>40</v>
      </c>
      <c r="AN44" s="2" t="s">
        <v>38</v>
      </c>
    </row>
    <row r="45" spans="2:40" x14ac:dyDescent="0.25">
      <c r="B45" s="2">
        <v>8865</v>
      </c>
      <c r="C45" s="28" t="s">
        <v>117</v>
      </c>
      <c r="D45" t="s">
        <v>133</v>
      </c>
      <c r="E45" t="s">
        <v>281</v>
      </c>
      <c r="F45" s="2" t="str">
        <f t="shared" si="2"/>
        <v>45</v>
      </c>
      <c r="G45" s="2" t="str">
        <f t="shared" si="3"/>
        <v>4575</v>
      </c>
      <c r="H45" s="2">
        <v>457530</v>
      </c>
      <c r="I45" s="2" t="s">
        <v>39</v>
      </c>
      <c r="J45" s="2">
        <v>26814</v>
      </c>
      <c r="K45" s="2" t="s">
        <v>202</v>
      </c>
      <c r="L45" s="2" t="s">
        <v>38</v>
      </c>
      <c r="M45" s="30">
        <v>9</v>
      </c>
      <c r="N45" s="23" t="s">
        <v>49</v>
      </c>
      <c r="O45" s="32">
        <v>2850</v>
      </c>
      <c r="P45" s="2" t="s">
        <v>41</v>
      </c>
      <c r="Q45" s="23">
        <v>1</v>
      </c>
      <c r="R45" s="2">
        <v>1</v>
      </c>
      <c r="S45" s="23">
        <v>7</v>
      </c>
      <c r="T45" s="31">
        <v>5700</v>
      </c>
      <c r="U45" s="23">
        <v>1</v>
      </c>
      <c r="V45" s="10">
        <v>5699.95</v>
      </c>
      <c r="AE45" t="s">
        <v>281</v>
      </c>
      <c r="AF45" t="s">
        <v>297</v>
      </c>
      <c r="AG45" s="33" t="s">
        <v>371</v>
      </c>
      <c r="AH45" s="33" t="s">
        <v>372</v>
      </c>
      <c r="AI45" s="2" t="s">
        <v>203</v>
      </c>
      <c r="AK45" s="2" t="s">
        <v>204</v>
      </c>
      <c r="AL45" s="2" t="s">
        <v>40</v>
      </c>
      <c r="AN45" s="2" t="s">
        <v>38</v>
      </c>
    </row>
    <row r="46" spans="2:40" x14ac:dyDescent="0.25">
      <c r="B46" s="2">
        <v>8865</v>
      </c>
      <c r="C46" s="28" t="s">
        <v>118</v>
      </c>
      <c r="D46" t="s">
        <v>134</v>
      </c>
      <c r="E46" t="s">
        <v>282</v>
      </c>
      <c r="F46" s="2" t="str">
        <f t="shared" si="2"/>
        <v>45</v>
      </c>
      <c r="G46" s="2" t="str">
        <f t="shared" si="3"/>
        <v>4575</v>
      </c>
      <c r="H46" s="2">
        <v>457530</v>
      </c>
      <c r="I46" s="2" t="s">
        <v>39</v>
      </c>
      <c r="J46" s="2">
        <v>26814</v>
      </c>
      <c r="K46" s="2" t="s">
        <v>202</v>
      </c>
      <c r="L46" s="2" t="s">
        <v>38</v>
      </c>
      <c r="M46" s="30">
        <v>9.1</v>
      </c>
      <c r="N46" s="23" t="s">
        <v>49</v>
      </c>
      <c r="O46" s="32">
        <v>3000</v>
      </c>
      <c r="P46" s="2" t="s">
        <v>41</v>
      </c>
      <c r="Q46" s="23">
        <v>1</v>
      </c>
      <c r="R46" s="2">
        <v>1</v>
      </c>
      <c r="S46" s="23">
        <v>7</v>
      </c>
      <c r="T46" s="31">
        <v>6000</v>
      </c>
      <c r="U46" s="23">
        <v>1</v>
      </c>
      <c r="V46" s="10">
        <v>5999.95</v>
      </c>
      <c r="AE46" t="s">
        <v>282</v>
      </c>
      <c r="AF46" t="s">
        <v>298</v>
      </c>
      <c r="AG46" s="33" t="s">
        <v>371</v>
      </c>
      <c r="AH46" s="33" t="s">
        <v>372</v>
      </c>
      <c r="AI46" s="2" t="s">
        <v>203</v>
      </c>
      <c r="AK46" s="2" t="s">
        <v>204</v>
      </c>
      <c r="AL46" s="2" t="s">
        <v>40</v>
      </c>
      <c r="AN46" s="2" t="s">
        <v>38</v>
      </c>
    </row>
    <row r="47" spans="2:40" x14ac:dyDescent="0.25">
      <c r="B47" s="2">
        <v>8865</v>
      </c>
      <c r="C47" s="28" t="s">
        <v>119</v>
      </c>
      <c r="D47" t="s">
        <v>135</v>
      </c>
      <c r="E47" t="s">
        <v>283</v>
      </c>
      <c r="F47" s="2" t="str">
        <f t="shared" si="2"/>
        <v>45</v>
      </c>
      <c r="G47" s="2" t="str">
        <f t="shared" si="3"/>
        <v>4575</v>
      </c>
      <c r="H47" s="2">
        <v>457530</v>
      </c>
      <c r="I47" s="2" t="s">
        <v>39</v>
      </c>
      <c r="J47" s="2">
        <v>26814</v>
      </c>
      <c r="K47" s="2" t="s">
        <v>202</v>
      </c>
      <c r="L47" s="2" t="s">
        <v>38</v>
      </c>
      <c r="M47" s="30">
        <v>9</v>
      </c>
      <c r="N47" s="23" t="s">
        <v>49</v>
      </c>
      <c r="O47" s="32">
        <v>2850</v>
      </c>
      <c r="P47" s="2" t="s">
        <v>41</v>
      </c>
      <c r="Q47" s="23">
        <v>1</v>
      </c>
      <c r="R47" s="2">
        <v>1</v>
      </c>
      <c r="S47" s="23">
        <v>7</v>
      </c>
      <c r="T47" s="31">
        <v>5700</v>
      </c>
      <c r="U47" s="23">
        <v>1</v>
      </c>
      <c r="V47" s="10">
        <v>5699.95</v>
      </c>
      <c r="AE47" t="s">
        <v>283</v>
      </c>
      <c r="AF47" t="s">
        <v>299</v>
      </c>
      <c r="AG47" s="33" t="s">
        <v>371</v>
      </c>
      <c r="AH47" s="33" t="s">
        <v>372</v>
      </c>
      <c r="AI47" s="2" t="s">
        <v>203</v>
      </c>
      <c r="AK47" s="2" t="s">
        <v>204</v>
      </c>
      <c r="AL47" s="2" t="s">
        <v>40</v>
      </c>
      <c r="AN47" s="2" t="s">
        <v>38</v>
      </c>
    </row>
    <row r="48" spans="2:40" x14ac:dyDescent="0.25">
      <c r="B48" s="2">
        <v>8865</v>
      </c>
      <c r="C48" s="28" t="s">
        <v>120</v>
      </c>
      <c r="D48" t="s">
        <v>136</v>
      </c>
      <c r="E48" t="s">
        <v>284</v>
      </c>
      <c r="F48" s="2" t="str">
        <f t="shared" si="2"/>
        <v>45</v>
      </c>
      <c r="G48" s="2" t="str">
        <f t="shared" si="3"/>
        <v>4575</v>
      </c>
      <c r="H48" s="2">
        <v>457530</v>
      </c>
      <c r="I48" s="2" t="s">
        <v>39</v>
      </c>
      <c r="J48" s="2">
        <v>26814</v>
      </c>
      <c r="K48" s="2" t="s">
        <v>202</v>
      </c>
      <c r="L48" s="2" t="s">
        <v>38</v>
      </c>
      <c r="M48" s="30">
        <v>9.1</v>
      </c>
      <c r="N48" s="23" t="s">
        <v>49</v>
      </c>
      <c r="O48" s="32">
        <v>3000</v>
      </c>
      <c r="P48" s="2" t="s">
        <v>41</v>
      </c>
      <c r="Q48" s="23">
        <v>1</v>
      </c>
      <c r="R48" s="2">
        <v>1</v>
      </c>
      <c r="S48" s="23">
        <v>7</v>
      </c>
      <c r="T48" s="31">
        <v>6000</v>
      </c>
      <c r="U48" s="23">
        <v>1</v>
      </c>
      <c r="V48" s="10">
        <v>5999.95</v>
      </c>
      <c r="AE48" t="s">
        <v>284</v>
      </c>
      <c r="AF48" t="s">
        <v>300</v>
      </c>
      <c r="AG48" s="33" t="s">
        <v>371</v>
      </c>
      <c r="AH48" s="33" t="s">
        <v>372</v>
      </c>
      <c r="AI48" s="2" t="s">
        <v>203</v>
      </c>
      <c r="AK48" s="2" t="s">
        <v>204</v>
      </c>
      <c r="AL48" s="2" t="s">
        <v>40</v>
      </c>
      <c r="AN48" s="2" t="s">
        <v>38</v>
      </c>
    </row>
    <row r="49" spans="2:40" x14ac:dyDescent="0.25">
      <c r="B49" s="2">
        <v>8865</v>
      </c>
      <c r="C49" s="28" t="s">
        <v>137</v>
      </c>
      <c r="D49" t="s">
        <v>153</v>
      </c>
      <c r="E49" t="s">
        <v>301</v>
      </c>
      <c r="F49" s="2" t="str">
        <f t="shared" si="2"/>
        <v>45</v>
      </c>
      <c r="G49" s="2" t="str">
        <f t="shared" si="3"/>
        <v>4575</v>
      </c>
      <c r="H49" s="2">
        <v>457530</v>
      </c>
      <c r="I49" s="2" t="s">
        <v>39</v>
      </c>
      <c r="J49" s="2">
        <v>26814</v>
      </c>
      <c r="K49" s="2" t="s">
        <v>202</v>
      </c>
      <c r="L49" s="2" t="s">
        <v>38</v>
      </c>
      <c r="M49" s="30">
        <v>22</v>
      </c>
      <c r="N49" s="23" t="s">
        <v>49</v>
      </c>
      <c r="O49" s="32">
        <v>4600</v>
      </c>
      <c r="P49" s="2" t="s">
        <v>41</v>
      </c>
      <c r="Q49" s="23">
        <v>1</v>
      </c>
      <c r="R49" s="2">
        <v>1</v>
      </c>
      <c r="S49" s="23">
        <v>7</v>
      </c>
      <c r="T49" s="31">
        <v>9200</v>
      </c>
      <c r="U49" s="23">
        <v>1</v>
      </c>
      <c r="V49" s="10">
        <v>9199.9500000000007</v>
      </c>
      <c r="AE49" t="s">
        <v>301</v>
      </c>
      <c r="AF49" t="s">
        <v>317</v>
      </c>
      <c r="AG49" s="33" t="s">
        <v>373</v>
      </c>
      <c r="AH49" s="33" t="s">
        <v>374</v>
      </c>
      <c r="AI49" s="2" t="s">
        <v>203</v>
      </c>
      <c r="AK49" s="2" t="s">
        <v>204</v>
      </c>
      <c r="AL49" s="2" t="s">
        <v>40</v>
      </c>
      <c r="AN49" s="2" t="s">
        <v>38</v>
      </c>
    </row>
    <row r="50" spans="2:40" x14ac:dyDescent="0.25">
      <c r="B50" s="2">
        <v>8865</v>
      </c>
      <c r="C50" s="28" t="s">
        <v>138</v>
      </c>
      <c r="D50" t="s">
        <v>154</v>
      </c>
      <c r="E50" t="s">
        <v>302</v>
      </c>
      <c r="F50" s="2" t="str">
        <f t="shared" si="2"/>
        <v>45</v>
      </c>
      <c r="G50" s="2" t="str">
        <f t="shared" si="3"/>
        <v>4575</v>
      </c>
      <c r="H50" s="2">
        <v>457530</v>
      </c>
      <c r="I50" s="2" t="s">
        <v>39</v>
      </c>
      <c r="J50" s="2">
        <v>26814</v>
      </c>
      <c r="K50" s="2" t="s">
        <v>202</v>
      </c>
      <c r="L50" s="2" t="s">
        <v>38</v>
      </c>
      <c r="M50" s="30">
        <v>22.1</v>
      </c>
      <c r="N50" s="23" t="s">
        <v>49</v>
      </c>
      <c r="O50" s="32">
        <v>4750</v>
      </c>
      <c r="P50" s="2" t="s">
        <v>41</v>
      </c>
      <c r="Q50" s="23">
        <v>1</v>
      </c>
      <c r="R50" s="2">
        <v>1</v>
      </c>
      <c r="S50" s="23">
        <v>7</v>
      </c>
      <c r="T50" s="31">
        <v>9500</v>
      </c>
      <c r="U50" s="23">
        <v>1</v>
      </c>
      <c r="V50" s="10">
        <v>9499.9500000000007</v>
      </c>
      <c r="AE50" t="s">
        <v>302</v>
      </c>
      <c r="AF50" t="s">
        <v>318</v>
      </c>
      <c r="AG50" s="33" t="s">
        <v>373</v>
      </c>
      <c r="AH50" s="33" t="s">
        <v>374</v>
      </c>
      <c r="AI50" s="2" t="s">
        <v>203</v>
      </c>
      <c r="AK50" s="2" t="s">
        <v>204</v>
      </c>
      <c r="AL50" s="2" t="s">
        <v>40</v>
      </c>
      <c r="AN50" s="2" t="s">
        <v>38</v>
      </c>
    </row>
    <row r="51" spans="2:40" x14ac:dyDescent="0.25">
      <c r="B51" s="2">
        <v>8865</v>
      </c>
      <c r="C51" s="28" t="s">
        <v>139</v>
      </c>
      <c r="D51" t="s">
        <v>155</v>
      </c>
      <c r="E51" t="s">
        <v>303</v>
      </c>
      <c r="F51" s="2" t="str">
        <f t="shared" si="2"/>
        <v>45</v>
      </c>
      <c r="G51" s="2" t="str">
        <f t="shared" si="3"/>
        <v>4575</v>
      </c>
      <c r="H51" s="2">
        <v>457530</v>
      </c>
      <c r="I51" s="2" t="s">
        <v>39</v>
      </c>
      <c r="J51" s="2">
        <v>26814</v>
      </c>
      <c r="K51" s="2" t="s">
        <v>202</v>
      </c>
      <c r="L51" s="2" t="s">
        <v>38</v>
      </c>
      <c r="M51" s="30">
        <v>24</v>
      </c>
      <c r="N51" s="23" t="s">
        <v>49</v>
      </c>
      <c r="O51" s="32">
        <v>4650</v>
      </c>
      <c r="P51" s="2" t="s">
        <v>41</v>
      </c>
      <c r="Q51" s="23">
        <v>1</v>
      </c>
      <c r="R51" s="2">
        <v>1</v>
      </c>
      <c r="S51" s="23">
        <v>7</v>
      </c>
      <c r="T51" s="31">
        <v>9300</v>
      </c>
      <c r="U51" s="23">
        <v>1</v>
      </c>
      <c r="V51" s="10">
        <v>9299.9500000000007</v>
      </c>
      <c r="AE51" t="s">
        <v>303</v>
      </c>
      <c r="AF51" t="s">
        <v>319</v>
      </c>
      <c r="AG51" s="33" t="s">
        <v>373</v>
      </c>
      <c r="AH51" s="33" t="s">
        <v>374</v>
      </c>
      <c r="AI51" s="2" t="s">
        <v>203</v>
      </c>
      <c r="AK51" s="2" t="s">
        <v>204</v>
      </c>
      <c r="AL51" s="2" t="s">
        <v>40</v>
      </c>
      <c r="AN51" s="2" t="s">
        <v>38</v>
      </c>
    </row>
    <row r="52" spans="2:40" x14ac:dyDescent="0.25">
      <c r="B52" s="2">
        <v>8865</v>
      </c>
      <c r="C52" s="28" t="s">
        <v>140</v>
      </c>
      <c r="D52" t="s">
        <v>156</v>
      </c>
      <c r="E52" t="s">
        <v>304</v>
      </c>
      <c r="F52" s="2" t="str">
        <f t="shared" si="2"/>
        <v>45</v>
      </c>
      <c r="G52" s="2" t="str">
        <f t="shared" si="3"/>
        <v>4575</v>
      </c>
      <c r="H52" s="2">
        <v>457530</v>
      </c>
      <c r="I52" s="2" t="s">
        <v>39</v>
      </c>
      <c r="J52" s="2">
        <v>26814</v>
      </c>
      <c r="K52" s="2" t="s">
        <v>202</v>
      </c>
      <c r="L52" s="2" t="s">
        <v>38</v>
      </c>
      <c r="M52" s="30">
        <v>24.1</v>
      </c>
      <c r="N52" s="23" t="s">
        <v>49</v>
      </c>
      <c r="O52" s="32">
        <v>4800</v>
      </c>
      <c r="P52" s="2" t="s">
        <v>41</v>
      </c>
      <c r="Q52" s="23">
        <v>1</v>
      </c>
      <c r="R52" s="2">
        <v>1</v>
      </c>
      <c r="S52" s="23">
        <v>7</v>
      </c>
      <c r="T52" s="31">
        <v>9600</v>
      </c>
      <c r="U52" s="23">
        <v>1</v>
      </c>
      <c r="V52" s="10">
        <v>9599.9500000000007</v>
      </c>
      <c r="AE52" t="s">
        <v>304</v>
      </c>
      <c r="AF52" t="s">
        <v>320</v>
      </c>
      <c r="AG52" s="33" t="s">
        <v>373</v>
      </c>
      <c r="AH52" s="33" t="s">
        <v>374</v>
      </c>
      <c r="AI52" s="2" t="s">
        <v>203</v>
      </c>
      <c r="AK52" s="2" t="s">
        <v>204</v>
      </c>
      <c r="AL52" s="2" t="s">
        <v>40</v>
      </c>
      <c r="AN52" s="2" t="s">
        <v>38</v>
      </c>
    </row>
    <row r="53" spans="2:40" x14ac:dyDescent="0.25">
      <c r="B53" s="2">
        <v>8865</v>
      </c>
      <c r="C53" s="28" t="s">
        <v>141</v>
      </c>
      <c r="D53" t="s">
        <v>157</v>
      </c>
      <c r="E53" t="s">
        <v>305</v>
      </c>
      <c r="F53" s="2" t="str">
        <f t="shared" si="2"/>
        <v>45</v>
      </c>
      <c r="G53" s="2" t="str">
        <f t="shared" si="3"/>
        <v>4575</v>
      </c>
      <c r="H53" s="2">
        <v>457530</v>
      </c>
      <c r="I53" s="2" t="s">
        <v>39</v>
      </c>
      <c r="J53" s="2">
        <v>26814</v>
      </c>
      <c r="K53" s="2" t="s">
        <v>202</v>
      </c>
      <c r="L53" s="2" t="s">
        <v>38</v>
      </c>
      <c r="M53" s="30">
        <v>23</v>
      </c>
      <c r="N53" s="23" t="s">
        <v>49</v>
      </c>
      <c r="O53" s="32">
        <v>4650</v>
      </c>
      <c r="P53" s="2" t="s">
        <v>41</v>
      </c>
      <c r="Q53" s="23">
        <v>1</v>
      </c>
      <c r="R53" s="2">
        <v>1</v>
      </c>
      <c r="S53" s="23">
        <v>7</v>
      </c>
      <c r="T53" s="31">
        <v>9300</v>
      </c>
      <c r="U53" s="23">
        <v>1</v>
      </c>
      <c r="V53" s="10">
        <v>9299.9500000000007</v>
      </c>
      <c r="AE53" t="s">
        <v>305</v>
      </c>
      <c r="AF53" t="s">
        <v>321</v>
      </c>
      <c r="AG53" s="33" t="s">
        <v>373</v>
      </c>
      <c r="AH53" s="33" t="s">
        <v>374</v>
      </c>
      <c r="AI53" s="2" t="s">
        <v>203</v>
      </c>
      <c r="AK53" s="2" t="s">
        <v>204</v>
      </c>
      <c r="AL53" s="2" t="s">
        <v>40</v>
      </c>
      <c r="AN53" s="2" t="s">
        <v>38</v>
      </c>
    </row>
    <row r="54" spans="2:40" x14ac:dyDescent="0.25">
      <c r="B54" s="2">
        <v>8865</v>
      </c>
      <c r="C54" s="28" t="s">
        <v>142</v>
      </c>
      <c r="D54" t="s">
        <v>158</v>
      </c>
      <c r="E54" t="s">
        <v>306</v>
      </c>
      <c r="F54" s="2" t="str">
        <f t="shared" si="2"/>
        <v>45</v>
      </c>
      <c r="G54" s="2" t="str">
        <f t="shared" si="3"/>
        <v>4575</v>
      </c>
      <c r="H54" s="2">
        <v>457530</v>
      </c>
      <c r="I54" s="2" t="s">
        <v>39</v>
      </c>
      <c r="J54" s="2">
        <v>26814</v>
      </c>
      <c r="K54" s="2" t="s">
        <v>202</v>
      </c>
      <c r="L54" s="2" t="s">
        <v>38</v>
      </c>
      <c r="M54" s="30">
        <v>23.1</v>
      </c>
      <c r="N54" s="23" t="s">
        <v>49</v>
      </c>
      <c r="O54" s="32">
        <v>4800</v>
      </c>
      <c r="P54" s="2" t="s">
        <v>41</v>
      </c>
      <c r="Q54" s="23">
        <v>1</v>
      </c>
      <c r="R54" s="2">
        <v>1</v>
      </c>
      <c r="S54" s="23">
        <v>7</v>
      </c>
      <c r="T54" s="31">
        <v>9600</v>
      </c>
      <c r="U54" s="23">
        <v>1</v>
      </c>
      <c r="V54" s="10">
        <v>9599.9500000000007</v>
      </c>
      <c r="AE54" t="s">
        <v>306</v>
      </c>
      <c r="AF54" t="s">
        <v>322</v>
      </c>
      <c r="AG54" s="33" t="s">
        <v>373</v>
      </c>
      <c r="AH54" s="33" t="s">
        <v>374</v>
      </c>
      <c r="AI54" s="2" t="s">
        <v>203</v>
      </c>
      <c r="AK54" s="2" t="s">
        <v>204</v>
      </c>
      <c r="AL54" s="2" t="s">
        <v>40</v>
      </c>
      <c r="AN54" s="2" t="s">
        <v>38</v>
      </c>
    </row>
    <row r="55" spans="2:40" x14ac:dyDescent="0.25">
      <c r="B55" s="2">
        <v>8865</v>
      </c>
      <c r="C55" s="28" t="s">
        <v>143</v>
      </c>
      <c r="D55" t="s">
        <v>159</v>
      </c>
      <c r="E55" t="s">
        <v>307</v>
      </c>
      <c r="F55" s="2" t="str">
        <f t="shared" si="2"/>
        <v>45</v>
      </c>
      <c r="G55" s="2" t="str">
        <f t="shared" si="3"/>
        <v>4575</v>
      </c>
      <c r="H55" s="2">
        <v>457530</v>
      </c>
      <c r="I55" s="2" t="s">
        <v>39</v>
      </c>
      <c r="J55" s="2">
        <v>26814</v>
      </c>
      <c r="K55" s="2" t="s">
        <v>202</v>
      </c>
      <c r="L55" s="2" t="s">
        <v>38</v>
      </c>
      <c r="M55" s="30">
        <v>24</v>
      </c>
      <c r="N55" s="23" t="s">
        <v>49</v>
      </c>
      <c r="O55" s="32">
        <v>4650</v>
      </c>
      <c r="P55" s="2" t="s">
        <v>41</v>
      </c>
      <c r="Q55" s="23">
        <v>1</v>
      </c>
      <c r="R55" s="2">
        <v>1</v>
      </c>
      <c r="S55" s="23">
        <v>7</v>
      </c>
      <c r="T55" s="31">
        <v>9300</v>
      </c>
      <c r="U55" s="23">
        <v>1</v>
      </c>
      <c r="V55" s="10">
        <v>9299.9500000000007</v>
      </c>
      <c r="AE55" t="s">
        <v>307</v>
      </c>
      <c r="AF55" t="s">
        <v>323</v>
      </c>
      <c r="AG55" s="33" t="s">
        <v>373</v>
      </c>
      <c r="AH55" s="33" t="s">
        <v>374</v>
      </c>
      <c r="AI55" s="2" t="s">
        <v>203</v>
      </c>
      <c r="AK55" s="2" t="s">
        <v>204</v>
      </c>
      <c r="AL55" s="2" t="s">
        <v>40</v>
      </c>
      <c r="AN55" s="2" t="s">
        <v>38</v>
      </c>
    </row>
    <row r="56" spans="2:40" x14ac:dyDescent="0.25">
      <c r="B56" s="2">
        <v>8865</v>
      </c>
      <c r="C56" s="28" t="s">
        <v>144</v>
      </c>
      <c r="D56" t="s">
        <v>160</v>
      </c>
      <c r="E56" t="s">
        <v>308</v>
      </c>
      <c r="F56" s="2" t="str">
        <f t="shared" si="2"/>
        <v>45</v>
      </c>
      <c r="G56" s="2" t="str">
        <f t="shared" si="3"/>
        <v>4575</v>
      </c>
      <c r="H56" s="2">
        <v>457530</v>
      </c>
      <c r="I56" s="2" t="s">
        <v>39</v>
      </c>
      <c r="J56" s="2">
        <v>26814</v>
      </c>
      <c r="K56" s="2" t="s">
        <v>202</v>
      </c>
      <c r="L56" s="2" t="s">
        <v>38</v>
      </c>
      <c r="M56" s="30">
        <v>24.1</v>
      </c>
      <c r="N56" s="23" t="s">
        <v>49</v>
      </c>
      <c r="O56" s="32">
        <v>4800</v>
      </c>
      <c r="P56" s="2" t="s">
        <v>41</v>
      </c>
      <c r="Q56" s="23">
        <v>1</v>
      </c>
      <c r="R56" s="2">
        <v>1</v>
      </c>
      <c r="S56" s="23">
        <v>7</v>
      </c>
      <c r="T56" s="31">
        <v>9600</v>
      </c>
      <c r="U56" s="23">
        <v>1</v>
      </c>
      <c r="V56" s="10">
        <v>9599.9500000000007</v>
      </c>
      <c r="AE56" t="s">
        <v>308</v>
      </c>
      <c r="AF56" t="s">
        <v>324</v>
      </c>
      <c r="AG56" s="33" t="s">
        <v>373</v>
      </c>
      <c r="AH56" s="33" t="s">
        <v>374</v>
      </c>
      <c r="AI56" s="2" t="s">
        <v>203</v>
      </c>
      <c r="AK56" s="2" t="s">
        <v>204</v>
      </c>
      <c r="AL56" s="2" t="s">
        <v>40</v>
      </c>
      <c r="AN56" s="2" t="s">
        <v>38</v>
      </c>
    </row>
    <row r="57" spans="2:40" x14ac:dyDescent="0.25">
      <c r="B57" s="2">
        <v>8865</v>
      </c>
      <c r="C57" s="28" t="s">
        <v>145</v>
      </c>
      <c r="D57" t="s">
        <v>161</v>
      </c>
      <c r="E57" t="s">
        <v>309</v>
      </c>
      <c r="F57" s="2" t="str">
        <f t="shared" si="2"/>
        <v>45</v>
      </c>
      <c r="G57" s="2" t="str">
        <f t="shared" si="3"/>
        <v>4575</v>
      </c>
      <c r="H57" s="2">
        <v>457530</v>
      </c>
      <c r="I57" s="2" t="s">
        <v>39</v>
      </c>
      <c r="J57" s="2">
        <v>26814</v>
      </c>
      <c r="K57" s="2" t="s">
        <v>202</v>
      </c>
      <c r="L57" s="2" t="s">
        <v>38</v>
      </c>
      <c r="M57" s="30">
        <v>25</v>
      </c>
      <c r="N57" s="23" t="s">
        <v>49</v>
      </c>
      <c r="O57" s="32">
        <v>4750</v>
      </c>
      <c r="P57" s="2" t="s">
        <v>41</v>
      </c>
      <c r="Q57" s="23">
        <v>1</v>
      </c>
      <c r="R57" s="2">
        <v>1</v>
      </c>
      <c r="S57" s="23">
        <v>7</v>
      </c>
      <c r="T57" s="31">
        <v>9500</v>
      </c>
      <c r="U57" s="23">
        <v>1</v>
      </c>
      <c r="V57" s="10">
        <v>9499.9500000000007</v>
      </c>
      <c r="AE57" t="s">
        <v>309</v>
      </c>
      <c r="AF57" t="s">
        <v>325</v>
      </c>
      <c r="AG57" s="33" t="s">
        <v>373</v>
      </c>
      <c r="AH57" s="33" t="s">
        <v>374</v>
      </c>
      <c r="AI57" s="2" t="s">
        <v>203</v>
      </c>
      <c r="AK57" s="2" t="s">
        <v>204</v>
      </c>
      <c r="AL57" s="2" t="s">
        <v>40</v>
      </c>
      <c r="AN57" s="2" t="s">
        <v>38</v>
      </c>
    </row>
    <row r="58" spans="2:40" x14ac:dyDescent="0.25">
      <c r="B58" s="2">
        <v>8865</v>
      </c>
      <c r="C58" s="28" t="s">
        <v>146</v>
      </c>
      <c r="D58" t="s">
        <v>162</v>
      </c>
      <c r="E58" t="s">
        <v>310</v>
      </c>
      <c r="F58" s="2" t="str">
        <f t="shared" si="2"/>
        <v>45</v>
      </c>
      <c r="G58" s="2" t="str">
        <f t="shared" si="3"/>
        <v>4575</v>
      </c>
      <c r="H58" s="2">
        <v>457530</v>
      </c>
      <c r="I58" s="2" t="s">
        <v>39</v>
      </c>
      <c r="J58" s="2">
        <v>26814</v>
      </c>
      <c r="K58" s="2" t="s">
        <v>202</v>
      </c>
      <c r="L58" s="2" t="s">
        <v>38</v>
      </c>
      <c r="M58" s="30">
        <v>25.1</v>
      </c>
      <c r="N58" s="23" t="s">
        <v>49</v>
      </c>
      <c r="O58" s="32">
        <v>4900</v>
      </c>
      <c r="P58" s="2" t="s">
        <v>41</v>
      </c>
      <c r="Q58" s="23">
        <v>1</v>
      </c>
      <c r="R58" s="2">
        <v>1</v>
      </c>
      <c r="S58" s="23">
        <v>7</v>
      </c>
      <c r="T58" s="31">
        <v>9800</v>
      </c>
      <c r="U58" s="23">
        <v>1</v>
      </c>
      <c r="V58" s="10">
        <v>9799.9500000000007</v>
      </c>
      <c r="AE58" t="s">
        <v>310</v>
      </c>
      <c r="AF58" t="s">
        <v>326</v>
      </c>
      <c r="AG58" s="33" t="s">
        <v>373</v>
      </c>
      <c r="AH58" s="33" t="s">
        <v>374</v>
      </c>
      <c r="AI58" s="2" t="s">
        <v>203</v>
      </c>
      <c r="AK58" s="2" t="s">
        <v>204</v>
      </c>
      <c r="AL58" s="2" t="s">
        <v>40</v>
      </c>
      <c r="AN58" s="2" t="s">
        <v>38</v>
      </c>
    </row>
    <row r="59" spans="2:40" x14ac:dyDescent="0.25">
      <c r="B59" s="2">
        <v>8865</v>
      </c>
      <c r="C59" s="28" t="s">
        <v>147</v>
      </c>
      <c r="D59" t="s">
        <v>163</v>
      </c>
      <c r="E59" t="s">
        <v>311</v>
      </c>
      <c r="F59" s="2" t="str">
        <f t="shared" si="2"/>
        <v>45</v>
      </c>
      <c r="G59" s="2" t="str">
        <f t="shared" si="3"/>
        <v>4575</v>
      </c>
      <c r="H59" s="2">
        <v>457530</v>
      </c>
      <c r="I59" s="2" t="s">
        <v>39</v>
      </c>
      <c r="J59" s="2">
        <v>26814</v>
      </c>
      <c r="K59" s="2" t="s">
        <v>202</v>
      </c>
      <c r="L59" s="2" t="s">
        <v>38</v>
      </c>
      <c r="M59" s="30">
        <v>26</v>
      </c>
      <c r="N59" s="23" t="s">
        <v>49</v>
      </c>
      <c r="O59" s="32">
        <v>4750</v>
      </c>
      <c r="P59" s="2" t="s">
        <v>41</v>
      </c>
      <c r="Q59" s="23">
        <v>1</v>
      </c>
      <c r="R59" s="2">
        <v>1</v>
      </c>
      <c r="S59" s="23">
        <v>7</v>
      </c>
      <c r="T59" s="31">
        <v>9500</v>
      </c>
      <c r="U59" s="23">
        <v>1</v>
      </c>
      <c r="V59" s="10">
        <v>9499.9500000000007</v>
      </c>
      <c r="AE59" t="s">
        <v>311</v>
      </c>
      <c r="AF59" t="s">
        <v>327</v>
      </c>
      <c r="AG59" s="33" t="s">
        <v>373</v>
      </c>
      <c r="AH59" s="33" t="s">
        <v>374</v>
      </c>
      <c r="AI59" s="2" t="s">
        <v>203</v>
      </c>
      <c r="AK59" s="2" t="s">
        <v>204</v>
      </c>
      <c r="AL59" s="2" t="s">
        <v>40</v>
      </c>
      <c r="AN59" s="2" t="s">
        <v>38</v>
      </c>
    </row>
    <row r="60" spans="2:40" x14ac:dyDescent="0.25">
      <c r="B60" s="2">
        <v>8865</v>
      </c>
      <c r="C60" s="28" t="s">
        <v>148</v>
      </c>
      <c r="D60" t="s">
        <v>164</v>
      </c>
      <c r="E60" t="s">
        <v>312</v>
      </c>
      <c r="F60" s="2" t="str">
        <f t="shared" si="2"/>
        <v>45</v>
      </c>
      <c r="G60" s="2" t="str">
        <f t="shared" si="3"/>
        <v>4575</v>
      </c>
      <c r="H60" s="2">
        <v>457530</v>
      </c>
      <c r="I60" s="2" t="s">
        <v>39</v>
      </c>
      <c r="J60" s="2">
        <v>26814</v>
      </c>
      <c r="K60" s="2" t="s">
        <v>202</v>
      </c>
      <c r="L60" s="2" t="s">
        <v>38</v>
      </c>
      <c r="M60" s="30">
        <v>26.1</v>
      </c>
      <c r="N60" s="23" t="s">
        <v>49</v>
      </c>
      <c r="O60" s="32">
        <v>4900</v>
      </c>
      <c r="P60" s="2" t="s">
        <v>41</v>
      </c>
      <c r="Q60" s="23">
        <v>1</v>
      </c>
      <c r="R60" s="2">
        <v>1</v>
      </c>
      <c r="S60" s="23">
        <v>7</v>
      </c>
      <c r="T60" s="31">
        <v>9800</v>
      </c>
      <c r="U60" s="23">
        <v>1</v>
      </c>
      <c r="V60" s="10">
        <v>9799.9500000000007</v>
      </c>
      <c r="AE60" t="s">
        <v>312</v>
      </c>
      <c r="AF60" t="s">
        <v>328</v>
      </c>
      <c r="AG60" s="33" t="s">
        <v>373</v>
      </c>
      <c r="AH60" s="33" t="s">
        <v>374</v>
      </c>
      <c r="AI60" s="2" t="s">
        <v>203</v>
      </c>
      <c r="AK60" s="2" t="s">
        <v>204</v>
      </c>
      <c r="AL60" s="2" t="s">
        <v>40</v>
      </c>
      <c r="AN60" s="2" t="s">
        <v>38</v>
      </c>
    </row>
    <row r="61" spans="2:40" x14ac:dyDescent="0.25">
      <c r="B61" s="2">
        <v>8865</v>
      </c>
      <c r="C61" s="28" t="s">
        <v>149</v>
      </c>
      <c r="D61" t="s">
        <v>165</v>
      </c>
      <c r="E61" t="s">
        <v>313</v>
      </c>
      <c r="F61" s="2" t="str">
        <f t="shared" si="2"/>
        <v>45</v>
      </c>
      <c r="G61" s="2" t="str">
        <f t="shared" si="3"/>
        <v>4575</v>
      </c>
      <c r="H61" s="2">
        <v>457530</v>
      </c>
      <c r="I61" s="2" t="s">
        <v>39</v>
      </c>
      <c r="J61" s="2">
        <v>26814</v>
      </c>
      <c r="K61" s="2" t="s">
        <v>202</v>
      </c>
      <c r="L61" s="2" t="s">
        <v>38</v>
      </c>
      <c r="M61" s="30">
        <v>30</v>
      </c>
      <c r="N61" s="23" t="s">
        <v>49</v>
      </c>
      <c r="O61" s="32">
        <v>4850</v>
      </c>
      <c r="P61" s="2" t="s">
        <v>41</v>
      </c>
      <c r="Q61" s="23">
        <v>1</v>
      </c>
      <c r="R61" s="2">
        <v>1</v>
      </c>
      <c r="S61" s="23">
        <v>7</v>
      </c>
      <c r="T61" s="31">
        <v>9700</v>
      </c>
      <c r="U61" s="23">
        <v>1</v>
      </c>
      <c r="V61" s="10">
        <v>9699.9500000000007</v>
      </c>
      <c r="AE61" t="s">
        <v>313</v>
      </c>
      <c r="AF61" t="s">
        <v>329</v>
      </c>
      <c r="AG61" s="33" t="s">
        <v>373</v>
      </c>
      <c r="AH61" s="33" t="s">
        <v>374</v>
      </c>
      <c r="AI61" s="2" t="s">
        <v>203</v>
      </c>
      <c r="AK61" s="2" t="s">
        <v>204</v>
      </c>
      <c r="AL61" s="2" t="s">
        <v>40</v>
      </c>
      <c r="AN61" s="2" t="s">
        <v>38</v>
      </c>
    </row>
    <row r="62" spans="2:40" x14ac:dyDescent="0.25">
      <c r="B62" s="2">
        <v>8865</v>
      </c>
      <c r="C62" s="28" t="s">
        <v>150</v>
      </c>
      <c r="D62" t="s">
        <v>166</v>
      </c>
      <c r="E62" t="s">
        <v>314</v>
      </c>
      <c r="F62" s="2" t="str">
        <f t="shared" si="2"/>
        <v>45</v>
      </c>
      <c r="G62" s="2" t="str">
        <f t="shared" si="3"/>
        <v>4575</v>
      </c>
      <c r="H62" s="2">
        <v>457530</v>
      </c>
      <c r="I62" s="2" t="s">
        <v>39</v>
      </c>
      <c r="J62" s="2">
        <v>26814</v>
      </c>
      <c r="K62" s="2" t="s">
        <v>202</v>
      </c>
      <c r="L62" s="2" t="s">
        <v>38</v>
      </c>
      <c r="M62" s="30">
        <v>30.1</v>
      </c>
      <c r="N62" s="23" t="s">
        <v>49</v>
      </c>
      <c r="O62" s="32">
        <v>5000</v>
      </c>
      <c r="P62" s="2" t="s">
        <v>41</v>
      </c>
      <c r="Q62" s="23">
        <v>1</v>
      </c>
      <c r="R62" s="2">
        <v>1</v>
      </c>
      <c r="S62" s="23">
        <v>7</v>
      </c>
      <c r="T62" s="31">
        <v>10000</v>
      </c>
      <c r="U62" s="23">
        <v>1</v>
      </c>
      <c r="V62" s="10">
        <v>9999.9500000000007</v>
      </c>
      <c r="AE62" t="s">
        <v>314</v>
      </c>
      <c r="AF62" t="s">
        <v>330</v>
      </c>
      <c r="AG62" s="33" t="s">
        <v>373</v>
      </c>
      <c r="AH62" s="33" t="s">
        <v>374</v>
      </c>
      <c r="AI62" s="2" t="s">
        <v>203</v>
      </c>
      <c r="AK62" s="2" t="s">
        <v>204</v>
      </c>
      <c r="AL62" s="2" t="s">
        <v>40</v>
      </c>
      <c r="AN62" s="2" t="s">
        <v>38</v>
      </c>
    </row>
    <row r="63" spans="2:40" x14ac:dyDescent="0.25">
      <c r="B63" s="2">
        <v>8865</v>
      </c>
      <c r="C63" s="28" t="s">
        <v>151</v>
      </c>
      <c r="D63" t="s">
        <v>167</v>
      </c>
      <c r="E63" t="s">
        <v>315</v>
      </c>
      <c r="F63" s="2" t="str">
        <f t="shared" si="2"/>
        <v>45</v>
      </c>
      <c r="G63" s="2" t="str">
        <f t="shared" si="3"/>
        <v>4575</v>
      </c>
      <c r="H63" s="2">
        <v>457530</v>
      </c>
      <c r="I63" s="2" t="s">
        <v>39</v>
      </c>
      <c r="J63" s="2">
        <v>26814</v>
      </c>
      <c r="K63" s="2" t="s">
        <v>202</v>
      </c>
      <c r="L63" s="2" t="s">
        <v>38</v>
      </c>
      <c r="M63" s="30">
        <v>30</v>
      </c>
      <c r="N63" s="23" t="s">
        <v>49</v>
      </c>
      <c r="O63" s="32">
        <v>4850</v>
      </c>
      <c r="P63" s="2" t="s">
        <v>41</v>
      </c>
      <c r="Q63" s="23">
        <v>1</v>
      </c>
      <c r="R63" s="2">
        <v>1</v>
      </c>
      <c r="S63" s="23">
        <v>7</v>
      </c>
      <c r="T63" s="31">
        <v>9700</v>
      </c>
      <c r="U63" s="23">
        <v>1</v>
      </c>
      <c r="V63" s="10">
        <v>9699.9500000000007</v>
      </c>
      <c r="AE63" t="s">
        <v>315</v>
      </c>
      <c r="AF63" t="s">
        <v>331</v>
      </c>
      <c r="AG63" s="33" t="s">
        <v>373</v>
      </c>
      <c r="AH63" s="33" t="s">
        <v>374</v>
      </c>
      <c r="AI63" s="2" t="s">
        <v>203</v>
      </c>
      <c r="AK63" s="2" t="s">
        <v>204</v>
      </c>
      <c r="AL63" s="2" t="s">
        <v>40</v>
      </c>
      <c r="AN63" s="2" t="s">
        <v>38</v>
      </c>
    </row>
    <row r="64" spans="2:40" x14ac:dyDescent="0.25">
      <c r="B64" s="2">
        <v>8865</v>
      </c>
      <c r="C64" s="28" t="s">
        <v>152</v>
      </c>
      <c r="D64" t="s">
        <v>168</v>
      </c>
      <c r="E64" t="s">
        <v>316</v>
      </c>
      <c r="F64" s="2" t="str">
        <f t="shared" si="2"/>
        <v>45</v>
      </c>
      <c r="G64" s="2" t="str">
        <f t="shared" si="3"/>
        <v>4575</v>
      </c>
      <c r="H64" s="2">
        <v>457530</v>
      </c>
      <c r="I64" s="2" t="s">
        <v>39</v>
      </c>
      <c r="J64" s="2">
        <v>26814</v>
      </c>
      <c r="K64" s="2" t="s">
        <v>202</v>
      </c>
      <c r="L64" s="2" t="s">
        <v>38</v>
      </c>
      <c r="M64" s="30">
        <v>30.1</v>
      </c>
      <c r="N64" s="23" t="s">
        <v>49</v>
      </c>
      <c r="O64" s="32">
        <v>5000</v>
      </c>
      <c r="P64" s="2" t="s">
        <v>41</v>
      </c>
      <c r="Q64" s="23">
        <v>1</v>
      </c>
      <c r="R64" s="2">
        <v>1</v>
      </c>
      <c r="S64" s="23">
        <v>7</v>
      </c>
      <c r="T64" s="31">
        <v>10000</v>
      </c>
      <c r="U64" s="23">
        <v>1</v>
      </c>
      <c r="V64" s="10">
        <v>9999.9500000000007</v>
      </c>
      <c r="AE64" t="s">
        <v>316</v>
      </c>
      <c r="AF64" t="s">
        <v>332</v>
      </c>
      <c r="AG64" s="33" t="s">
        <v>373</v>
      </c>
      <c r="AH64" s="33" t="s">
        <v>374</v>
      </c>
      <c r="AI64" s="2" t="s">
        <v>203</v>
      </c>
      <c r="AK64" s="2" t="s">
        <v>204</v>
      </c>
      <c r="AL64" s="2" t="s">
        <v>40</v>
      </c>
      <c r="AN64" s="2" t="s">
        <v>38</v>
      </c>
    </row>
    <row r="65" spans="2:40" x14ac:dyDescent="0.25">
      <c r="B65" s="2">
        <v>8865</v>
      </c>
      <c r="C65" s="28" t="s">
        <v>169</v>
      </c>
      <c r="D65" t="s">
        <v>185</v>
      </c>
      <c r="E65" t="s">
        <v>333</v>
      </c>
      <c r="F65" s="2" t="str">
        <f t="shared" si="2"/>
        <v>45</v>
      </c>
      <c r="G65" s="2" t="str">
        <f t="shared" si="3"/>
        <v>4575</v>
      </c>
      <c r="H65" s="2">
        <v>457530</v>
      </c>
      <c r="I65" s="2" t="s">
        <v>39</v>
      </c>
      <c r="J65" s="2">
        <v>26814</v>
      </c>
      <c r="K65" s="2" t="s">
        <v>202</v>
      </c>
      <c r="L65" s="2" t="s">
        <v>38</v>
      </c>
      <c r="M65" s="30">
        <v>48</v>
      </c>
      <c r="N65" s="23" t="s">
        <v>49</v>
      </c>
      <c r="O65" s="32">
        <v>6600</v>
      </c>
      <c r="P65" s="2" t="s">
        <v>41</v>
      </c>
      <c r="Q65" s="23">
        <v>1</v>
      </c>
      <c r="R65" s="2">
        <v>1</v>
      </c>
      <c r="S65" s="23">
        <v>7</v>
      </c>
      <c r="T65" s="31">
        <v>13200</v>
      </c>
      <c r="U65" s="23">
        <v>1</v>
      </c>
      <c r="V65" s="10">
        <v>13199.95</v>
      </c>
      <c r="AE65" t="s">
        <v>333</v>
      </c>
      <c r="AF65" t="s">
        <v>349</v>
      </c>
      <c r="AG65" s="33" t="s">
        <v>375</v>
      </c>
      <c r="AH65" s="33" t="s">
        <v>376</v>
      </c>
      <c r="AI65" s="2" t="s">
        <v>203</v>
      </c>
      <c r="AK65" s="2" t="s">
        <v>204</v>
      </c>
      <c r="AL65" s="2" t="s">
        <v>40</v>
      </c>
      <c r="AN65" s="2" t="s">
        <v>38</v>
      </c>
    </row>
    <row r="66" spans="2:40" x14ac:dyDescent="0.25">
      <c r="B66" s="2">
        <v>8865</v>
      </c>
      <c r="C66" s="28" t="s">
        <v>170</v>
      </c>
      <c r="D66" t="s">
        <v>186</v>
      </c>
      <c r="E66" t="s">
        <v>334</v>
      </c>
      <c r="F66" s="2" t="str">
        <f t="shared" si="2"/>
        <v>45</v>
      </c>
      <c r="G66" s="2" t="str">
        <f t="shared" si="3"/>
        <v>4575</v>
      </c>
      <c r="H66" s="2">
        <v>457530</v>
      </c>
      <c r="I66" s="2" t="s">
        <v>39</v>
      </c>
      <c r="J66" s="2">
        <v>26814</v>
      </c>
      <c r="K66" s="2" t="s">
        <v>202</v>
      </c>
      <c r="L66" s="2" t="s">
        <v>38</v>
      </c>
      <c r="M66" s="30">
        <v>48.1</v>
      </c>
      <c r="N66" s="23" t="s">
        <v>49</v>
      </c>
      <c r="O66" s="32">
        <v>6750</v>
      </c>
      <c r="P66" s="2" t="s">
        <v>41</v>
      </c>
      <c r="Q66" s="23">
        <v>1</v>
      </c>
      <c r="R66" s="2">
        <v>1</v>
      </c>
      <c r="S66" s="23">
        <v>7</v>
      </c>
      <c r="T66" s="31">
        <v>13500</v>
      </c>
      <c r="U66" s="23">
        <v>1</v>
      </c>
      <c r="V66" s="10">
        <v>13499.95</v>
      </c>
      <c r="AE66" t="s">
        <v>334</v>
      </c>
      <c r="AF66" t="s">
        <v>350</v>
      </c>
      <c r="AG66" s="33" t="s">
        <v>375</v>
      </c>
      <c r="AH66" s="33" t="s">
        <v>376</v>
      </c>
      <c r="AI66" s="2" t="s">
        <v>203</v>
      </c>
      <c r="AK66" s="2" t="s">
        <v>204</v>
      </c>
      <c r="AL66" s="2" t="s">
        <v>40</v>
      </c>
      <c r="AN66" s="2" t="s">
        <v>38</v>
      </c>
    </row>
    <row r="67" spans="2:40" x14ac:dyDescent="0.25">
      <c r="B67" s="2">
        <v>8865</v>
      </c>
      <c r="C67" s="28" t="s">
        <v>171</v>
      </c>
      <c r="D67" t="s">
        <v>187</v>
      </c>
      <c r="E67" t="s">
        <v>335</v>
      </c>
      <c r="F67" s="2" t="str">
        <f t="shared" si="2"/>
        <v>45</v>
      </c>
      <c r="G67" s="2" t="str">
        <f t="shared" si="3"/>
        <v>4575</v>
      </c>
      <c r="H67" s="2">
        <v>457530</v>
      </c>
      <c r="I67" s="2" t="s">
        <v>39</v>
      </c>
      <c r="J67" s="2">
        <v>26814</v>
      </c>
      <c r="K67" s="2" t="s">
        <v>202</v>
      </c>
      <c r="L67" s="2" t="s">
        <v>38</v>
      </c>
      <c r="M67" s="30">
        <v>56</v>
      </c>
      <c r="N67" s="23" t="s">
        <v>49</v>
      </c>
      <c r="O67" s="32">
        <v>6650</v>
      </c>
      <c r="P67" s="2" t="s">
        <v>41</v>
      </c>
      <c r="Q67" s="23">
        <v>1</v>
      </c>
      <c r="R67" s="2">
        <v>1</v>
      </c>
      <c r="S67" s="23">
        <v>7</v>
      </c>
      <c r="T67" s="31">
        <v>13300</v>
      </c>
      <c r="U67" s="23">
        <v>1</v>
      </c>
      <c r="V67" s="10">
        <v>13299.95</v>
      </c>
      <c r="AE67" t="s">
        <v>335</v>
      </c>
      <c r="AF67" t="s">
        <v>351</v>
      </c>
      <c r="AG67" s="33" t="s">
        <v>375</v>
      </c>
      <c r="AH67" s="33" t="s">
        <v>376</v>
      </c>
      <c r="AI67" s="2" t="s">
        <v>203</v>
      </c>
      <c r="AK67" s="2" t="s">
        <v>204</v>
      </c>
      <c r="AL67" s="2" t="s">
        <v>40</v>
      </c>
      <c r="AN67" s="2" t="s">
        <v>38</v>
      </c>
    </row>
    <row r="68" spans="2:40" x14ac:dyDescent="0.25">
      <c r="B68" s="2">
        <v>8865</v>
      </c>
      <c r="C68" s="28" t="s">
        <v>172</v>
      </c>
      <c r="D68" t="s">
        <v>188</v>
      </c>
      <c r="E68" t="s">
        <v>336</v>
      </c>
      <c r="F68" s="2" t="str">
        <f t="shared" si="2"/>
        <v>45</v>
      </c>
      <c r="G68" s="2" t="str">
        <f t="shared" si="3"/>
        <v>4575</v>
      </c>
      <c r="H68" s="2">
        <v>457530</v>
      </c>
      <c r="I68" s="2" t="s">
        <v>39</v>
      </c>
      <c r="J68" s="2">
        <v>26814</v>
      </c>
      <c r="K68" s="2" t="s">
        <v>202</v>
      </c>
      <c r="L68" s="2" t="s">
        <v>38</v>
      </c>
      <c r="M68" s="30">
        <v>56.1</v>
      </c>
      <c r="N68" s="23" t="s">
        <v>49</v>
      </c>
      <c r="O68" s="32">
        <v>6800</v>
      </c>
      <c r="P68" s="2" t="s">
        <v>41</v>
      </c>
      <c r="Q68" s="23">
        <v>1</v>
      </c>
      <c r="R68" s="2">
        <v>1</v>
      </c>
      <c r="S68" s="23">
        <v>7</v>
      </c>
      <c r="T68" s="31">
        <v>13600</v>
      </c>
      <c r="U68" s="23">
        <v>1</v>
      </c>
      <c r="V68" s="10">
        <v>13599.95</v>
      </c>
      <c r="AE68" t="s">
        <v>336</v>
      </c>
      <c r="AF68" t="s">
        <v>352</v>
      </c>
      <c r="AG68" s="33" t="s">
        <v>375</v>
      </c>
      <c r="AH68" s="33" t="s">
        <v>376</v>
      </c>
      <c r="AI68" s="2" t="s">
        <v>203</v>
      </c>
      <c r="AK68" s="2" t="s">
        <v>204</v>
      </c>
      <c r="AL68" s="2" t="s">
        <v>40</v>
      </c>
      <c r="AN68" s="2" t="s">
        <v>38</v>
      </c>
    </row>
    <row r="69" spans="2:40" x14ac:dyDescent="0.25">
      <c r="B69" s="2">
        <v>8865</v>
      </c>
      <c r="C69" s="28" t="s">
        <v>173</v>
      </c>
      <c r="D69" t="s">
        <v>189</v>
      </c>
      <c r="E69" t="s">
        <v>337</v>
      </c>
      <c r="F69" s="2" t="str">
        <f t="shared" si="2"/>
        <v>45</v>
      </c>
      <c r="G69" s="2" t="str">
        <f t="shared" si="3"/>
        <v>4575</v>
      </c>
      <c r="H69" s="2">
        <v>457530</v>
      </c>
      <c r="I69" s="2" t="s">
        <v>39</v>
      </c>
      <c r="J69" s="2">
        <v>26814</v>
      </c>
      <c r="K69" s="2" t="s">
        <v>202</v>
      </c>
      <c r="L69" s="2" t="s">
        <v>38</v>
      </c>
      <c r="M69" s="30">
        <v>52</v>
      </c>
      <c r="N69" s="23" t="s">
        <v>49</v>
      </c>
      <c r="O69" s="32">
        <v>6650</v>
      </c>
      <c r="P69" s="2" t="s">
        <v>41</v>
      </c>
      <c r="Q69" s="23">
        <v>1</v>
      </c>
      <c r="R69" s="2">
        <v>1</v>
      </c>
      <c r="S69" s="23">
        <v>7</v>
      </c>
      <c r="T69" s="31">
        <v>13300</v>
      </c>
      <c r="U69" s="23">
        <v>1</v>
      </c>
      <c r="V69" s="10">
        <v>13299.95</v>
      </c>
      <c r="AE69" t="s">
        <v>337</v>
      </c>
      <c r="AF69" t="s">
        <v>353</v>
      </c>
      <c r="AG69" s="33" t="s">
        <v>375</v>
      </c>
      <c r="AH69" s="33" t="s">
        <v>376</v>
      </c>
      <c r="AI69" s="2" t="s">
        <v>203</v>
      </c>
      <c r="AK69" s="2" t="s">
        <v>204</v>
      </c>
      <c r="AL69" s="2" t="s">
        <v>40</v>
      </c>
      <c r="AN69" s="2" t="s">
        <v>38</v>
      </c>
    </row>
    <row r="70" spans="2:40" x14ac:dyDescent="0.25">
      <c r="B70" s="2">
        <v>8865</v>
      </c>
      <c r="C70" s="28" t="s">
        <v>174</v>
      </c>
      <c r="D70" t="s">
        <v>190</v>
      </c>
      <c r="E70" t="s">
        <v>338</v>
      </c>
      <c r="F70" s="2" t="str">
        <f t="shared" si="2"/>
        <v>45</v>
      </c>
      <c r="G70" s="2" t="str">
        <f t="shared" si="3"/>
        <v>4575</v>
      </c>
      <c r="H70" s="2">
        <v>457530</v>
      </c>
      <c r="I70" s="2" t="s">
        <v>39</v>
      </c>
      <c r="J70" s="2">
        <v>26814</v>
      </c>
      <c r="K70" s="2" t="s">
        <v>202</v>
      </c>
      <c r="L70" s="2" t="s">
        <v>38</v>
      </c>
      <c r="M70" s="30">
        <v>52.1</v>
      </c>
      <c r="N70" s="23" t="s">
        <v>49</v>
      </c>
      <c r="O70" s="32">
        <v>6800</v>
      </c>
      <c r="P70" s="2" t="s">
        <v>41</v>
      </c>
      <c r="Q70" s="23">
        <v>1</v>
      </c>
      <c r="R70" s="2">
        <v>1</v>
      </c>
      <c r="S70" s="23">
        <v>7</v>
      </c>
      <c r="T70" s="31">
        <v>13600</v>
      </c>
      <c r="U70" s="23">
        <v>1</v>
      </c>
      <c r="V70" s="10">
        <v>13599.95</v>
      </c>
      <c r="AE70" t="s">
        <v>338</v>
      </c>
      <c r="AF70" t="s">
        <v>354</v>
      </c>
      <c r="AG70" s="33" t="s">
        <v>375</v>
      </c>
      <c r="AH70" s="33" t="s">
        <v>376</v>
      </c>
      <c r="AI70" s="2" t="s">
        <v>203</v>
      </c>
      <c r="AK70" s="2" t="s">
        <v>204</v>
      </c>
      <c r="AL70" s="2" t="s">
        <v>40</v>
      </c>
      <c r="AN70" s="2" t="s">
        <v>38</v>
      </c>
    </row>
    <row r="71" spans="2:40" x14ac:dyDescent="0.25">
      <c r="B71" s="2">
        <v>8865</v>
      </c>
      <c r="C71" s="28" t="s">
        <v>175</v>
      </c>
      <c r="D71" t="s">
        <v>191</v>
      </c>
      <c r="E71" t="s">
        <v>339</v>
      </c>
      <c r="F71" s="2" t="str">
        <f t="shared" si="2"/>
        <v>45</v>
      </c>
      <c r="G71" s="2" t="str">
        <f t="shared" si="3"/>
        <v>4575</v>
      </c>
      <c r="H71" s="2">
        <v>457530</v>
      </c>
      <c r="I71" s="2" t="s">
        <v>39</v>
      </c>
      <c r="J71" s="2">
        <v>26814</v>
      </c>
      <c r="K71" s="2" t="s">
        <v>202</v>
      </c>
      <c r="L71" s="2" t="s">
        <v>38</v>
      </c>
      <c r="M71" s="30">
        <v>56</v>
      </c>
      <c r="N71" s="23" t="s">
        <v>49</v>
      </c>
      <c r="O71" s="32">
        <v>6650</v>
      </c>
      <c r="P71" s="2" t="s">
        <v>41</v>
      </c>
      <c r="Q71" s="23">
        <v>1</v>
      </c>
      <c r="R71" s="2">
        <v>1</v>
      </c>
      <c r="S71" s="23">
        <v>7</v>
      </c>
      <c r="T71" s="31">
        <v>13300</v>
      </c>
      <c r="U71" s="23">
        <v>1</v>
      </c>
      <c r="V71" s="10">
        <v>13299.95</v>
      </c>
      <c r="AE71" t="s">
        <v>339</v>
      </c>
      <c r="AF71" t="s">
        <v>355</v>
      </c>
      <c r="AG71" s="33" t="s">
        <v>375</v>
      </c>
      <c r="AH71" s="33" t="s">
        <v>376</v>
      </c>
      <c r="AI71" s="2" t="s">
        <v>203</v>
      </c>
      <c r="AK71" s="2" t="s">
        <v>204</v>
      </c>
      <c r="AL71" s="2" t="s">
        <v>40</v>
      </c>
      <c r="AN71" s="2" t="s">
        <v>38</v>
      </c>
    </row>
    <row r="72" spans="2:40" x14ac:dyDescent="0.25">
      <c r="B72" s="2">
        <v>8865</v>
      </c>
      <c r="C72" s="28" t="s">
        <v>176</v>
      </c>
      <c r="D72" t="s">
        <v>192</v>
      </c>
      <c r="E72" t="s">
        <v>340</v>
      </c>
      <c r="F72" s="2" t="str">
        <f t="shared" si="2"/>
        <v>45</v>
      </c>
      <c r="G72" s="2" t="str">
        <f t="shared" si="3"/>
        <v>4575</v>
      </c>
      <c r="H72" s="2">
        <v>457530</v>
      </c>
      <c r="I72" s="2" t="s">
        <v>39</v>
      </c>
      <c r="J72" s="2">
        <v>26814</v>
      </c>
      <c r="K72" s="2" t="s">
        <v>202</v>
      </c>
      <c r="L72" s="2" t="s">
        <v>38</v>
      </c>
      <c r="M72" s="30">
        <v>56.1</v>
      </c>
      <c r="N72" s="23" t="s">
        <v>49</v>
      </c>
      <c r="O72" s="32">
        <v>6800</v>
      </c>
      <c r="P72" s="2" t="s">
        <v>41</v>
      </c>
      <c r="Q72" s="23">
        <v>1</v>
      </c>
      <c r="R72" s="2">
        <v>1</v>
      </c>
      <c r="S72" s="23">
        <v>7</v>
      </c>
      <c r="T72" s="31">
        <v>13600</v>
      </c>
      <c r="U72" s="23">
        <v>1</v>
      </c>
      <c r="V72" s="10">
        <v>13599.95</v>
      </c>
      <c r="AE72" t="s">
        <v>340</v>
      </c>
      <c r="AF72" t="s">
        <v>356</v>
      </c>
      <c r="AG72" s="33" t="s">
        <v>375</v>
      </c>
      <c r="AH72" s="33" t="s">
        <v>376</v>
      </c>
      <c r="AI72" s="2" t="s">
        <v>203</v>
      </c>
      <c r="AK72" s="2" t="s">
        <v>204</v>
      </c>
      <c r="AL72" s="2" t="s">
        <v>40</v>
      </c>
      <c r="AN72" s="2" t="s">
        <v>38</v>
      </c>
    </row>
    <row r="73" spans="2:40" x14ac:dyDescent="0.25">
      <c r="B73" s="2">
        <v>8865</v>
      </c>
      <c r="C73" s="28" t="s">
        <v>177</v>
      </c>
      <c r="D73" t="s">
        <v>193</v>
      </c>
      <c r="E73" t="s">
        <v>341</v>
      </c>
      <c r="F73" s="2" t="str">
        <f t="shared" si="2"/>
        <v>45</v>
      </c>
      <c r="G73" s="2" t="str">
        <f t="shared" si="3"/>
        <v>4575</v>
      </c>
      <c r="H73" s="2">
        <v>457530</v>
      </c>
      <c r="I73" s="2" t="s">
        <v>39</v>
      </c>
      <c r="J73" s="2">
        <v>26814</v>
      </c>
      <c r="K73" s="2" t="s">
        <v>202</v>
      </c>
      <c r="L73" s="2" t="s">
        <v>38</v>
      </c>
      <c r="M73" s="30">
        <v>56</v>
      </c>
      <c r="N73" s="23" t="s">
        <v>49</v>
      </c>
      <c r="O73" s="32">
        <v>6750</v>
      </c>
      <c r="P73" s="2" t="s">
        <v>41</v>
      </c>
      <c r="Q73" s="23">
        <v>1</v>
      </c>
      <c r="R73" s="2">
        <v>1</v>
      </c>
      <c r="S73" s="23">
        <v>7</v>
      </c>
      <c r="T73" s="31">
        <v>13500</v>
      </c>
      <c r="U73" s="23">
        <v>1</v>
      </c>
      <c r="V73" s="10">
        <v>13499.95</v>
      </c>
      <c r="AE73" t="s">
        <v>341</v>
      </c>
      <c r="AF73" t="s">
        <v>357</v>
      </c>
      <c r="AG73" s="33" t="s">
        <v>375</v>
      </c>
      <c r="AH73" s="33" t="s">
        <v>376</v>
      </c>
      <c r="AI73" s="2" t="s">
        <v>203</v>
      </c>
      <c r="AK73" s="2" t="s">
        <v>204</v>
      </c>
      <c r="AL73" s="2" t="s">
        <v>40</v>
      </c>
      <c r="AN73" s="2" t="s">
        <v>38</v>
      </c>
    </row>
    <row r="74" spans="2:40" x14ac:dyDescent="0.25">
      <c r="B74" s="2">
        <v>8865</v>
      </c>
      <c r="C74" s="28" t="s">
        <v>178</v>
      </c>
      <c r="D74" t="s">
        <v>194</v>
      </c>
      <c r="E74" t="s">
        <v>342</v>
      </c>
      <c r="F74" s="2" t="str">
        <f t="shared" si="2"/>
        <v>45</v>
      </c>
      <c r="G74" s="2" t="str">
        <f t="shared" si="3"/>
        <v>4575</v>
      </c>
      <c r="H74" s="2">
        <v>457530</v>
      </c>
      <c r="I74" s="2" t="s">
        <v>39</v>
      </c>
      <c r="J74" s="2">
        <v>26814</v>
      </c>
      <c r="K74" s="2" t="s">
        <v>202</v>
      </c>
      <c r="L74" s="2" t="s">
        <v>38</v>
      </c>
      <c r="M74" s="30">
        <v>56.1</v>
      </c>
      <c r="N74" s="23" t="s">
        <v>49</v>
      </c>
      <c r="O74" s="32">
        <v>6900</v>
      </c>
      <c r="P74" s="2" t="s">
        <v>41</v>
      </c>
      <c r="Q74" s="23">
        <v>1</v>
      </c>
      <c r="R74" s="2">
        <v>1</v>
      </c>
      <c r="S74" s="23">
        <v>7</v>
      </c>
      <c r="T74" s="31">
        <v>13800</v>
      </c>
      <c r="U74" s="23">
        <v>1</v>
      </c>
      <c r="V74" s="10">
        <v>13799.95</v>
      </c>
      <c r="AE74" t="s">
        <v>342</v>
      </c>
      <c r="AF74" t="s">
        <v>358</v>
      </c>
      <c r="AG74" s="33" t="s">
        <v>375</v>
      </c>
      <c r="AH74" s="33" t="s">
        <v>376</v>
      </c>
      <c r="AI74" s="2" t="s">
        <v>203</v>
      </c>
      <c r="AK74" s="2" t="s">
        <v>204</v>
      </c>
      <c r="AL74" s="2" t="s">
        <v>40</v>
      </c>
      <c r="AN74" s="2" t="s">
        <v>38</v>
      </c>
    </row>
    <row r="75" spans="2:40" x14ac:dyDescent="0.25">
      <c r="B75" s="2">
        <v>8865</v>
      </c>
      <c r="C75" s="28" t="s">
        <v>179</v>
      </c>
      <c r="D75" t="s">
        <v>195</v>
      </c>
      <c r="E75" t="s">
        <v>343</v>
      </c>
      <c r="F75" s="2" t="str">
        <f t="shared" si="2"/>
        <v>45</v>
      </c>
      <c r="G75" s="2" t="str">
        <f t="shared" si="3"/>
        <v>4575</v>
      </c>
      <c r="H75" s="2">
        <v>457530</v>
      </c>
      <c r="I75" s="2" t="s">
        <v>39</v>
      </c>
      <c r="J75" s="2">
        <v>26814</v>
      </c>
      <c r="K75" s="2" t="s">
        <v>202</v>
      </c>
      <c r="L75" s="2" t="s">
        <v>38</v>
      </c>
      <c r="M75" s="30">
        <v>58</v>
      </c>
      <c r="N75" s="23" t="s">
        <v>49</v>
      </c>
      <c r="O75" s="32">
        <v>6750</v>
      </c>
      <c r="P75" s="2" t="s">
        <v>41</v>
      </c>
      <c r="Q75" s="23">
        <v>1</v>
      </c>
      <c r="R75" s="2">
        <v>1</v>
      </c>
      <c r="S75" s="23">
        <v>7</v>
      </c>
      <c r="T75" s="31">
        <v>13500</v>
      </c>
      <c r="U75" s="23">
        <v>1</v>
      </c>
      <c r="V75" s="10">
        <v>13499.95</v>
      </c>
      <c r="AE75" t="s">
        <v>343</v>
      </c>
      <c r="AF75" t="s">
        <v>359</v>
      </c>
      <c r="AG75" s="33" t="s">
        <v>375</v>
      </c>
      <c r="AH75" s="33" t="s">
        <v>376</v>
      </c>
      <c r="AI75" s="2" t="s">
        <v>203</v>
      </c>
      <c r="AK75" s="2" t="s">
        <v>204</v>
      </c>
      <c r="AL75" s="2" t="s">
        <v>40</v>
      </c>
      <c r="AN75" s="2" t="s">
        <v>38</v>
      </c>
    </row>
    <row r="76" spans="2:40" x14ac:dyDescent="0.25">
      <c r="B76" s="2">
        <v>8865</v>
      </c>
      <c r="C76" s="28" t="s">
        <v>180</v>
      </c>
      <c r="D76" t="s">
        <v>196</v>
      </c>
      <c r="E76" t="s">
        <v>344</v>
      </c>
      <c r="F76" s="2" t="str">
        <f t="shared" si="2"/>
        <v>45</v>
      </c>
      <c r="G76" s="2" t="str">
        <f t="shared" si="3"/>
        <v>4575</v>
      </c>
      <c r="H76" s="2">
        <v>457530</v>
      </c>
      <c r="I76" s="2" t="s">
        <v>39</v>
      </c>
      <c r="J76" s="2">
        <v>26814</v>
      </c>
      <c r="K76" s="2" t="s">
        <v>202</v>
      </c>
      <c r="L76" s="2" t="s">
        <v>38</v>
      </c>
      <c r="M76" s="30">
        <v>58.1</v>
      </c>
      <c r="N76" s="23" t="s">
        <v>49</v>
      </c>
      <c r="O76" s="32">
        <v>6900</v>
      </c>
      <c r="P76" s="2" t="s">
        <v>41</v>
      </c>
      <c r="Q76" s="23">
        <v>1</v>
      </c>
      <c r="R76" s="2">
        <v>1</v>
      </c>
      <c r="S76" s="23">
        <v>7</v>
      </c>
      <c r="T76" s="31">
        <v>13800</v>
      </c>
      <c r="U76" s="23">
        <v>1</v>
      </c>
      <c r="V76" s="10">
        <v>13799.95</v>
      </c>
      <c r="AE76" t="s">
        <v>344</v>
      </c>
      <c r="AF76" t="s">
        <v>360</v>
      </c>
      <c r="AG76" s="33" t="s">
        <v>375</v>
      </c>
      <c r="AH76" s="33" t="s">
        <v>376</v>
      </c>
      <c r="AI76" s="2" t="s">
        <v>203</v>
      </c>
      <c r="AK76" s="2" t="s">
        <v>204</v>
      </c>
      <c r="AL76" s="2" t="s">
        <v>40</v>
      </c>
      <c r="AN76" s="2" t="s">
        <v>38</v>
      </c>
    </row>
    <row r="77" spans="2:40" x14ac:dyDescent="0.25">
      <c r="B77" s="2">
        <v>8865</v>
      </c>
      <c r="C77" s="28" t="s">
        <v>181</v>
      </c>
      <c r="D77" t="s">
        <v>197</v>
      </c>
      <c r="E77" t="s">
        <v>345</v>
      </c>
      <c r="F77" s="2" t="str">
        <f t="shared" si="2"/>
        <v>45</v>
      </c>
      <c r="G77" s="2" t="str">
        <f t="shared" si="3"/>
        <v>4575</v>
      </c>
      <c r="H77" s="2">
        <v>457530</v>
      </c>
      <c r="I77" s="2" t="s">
        <v>39</v>
      </c>
      <c r="J77" s="2">
        <v>26814</v>
      </c>
      <c r="K77" s="2" t="s">
        <v>202</v>
      </c>
      <c r="L77" s="2" t="s">
        <v>38</v>
      </c>
      <c r="M77" s="30">
        <v>58</v>
      </c>
      <c r="N77" s="23" t="s">
        <v>49</v>
      </c>
      <c r="O77" s="32">
        <v>6850</v>
      </c>
      <c r="P77" s="2" t="s">
        <v>41</v>
      </c>
      <c r="Q77" s="23">
        <v>1</v>
      </c>
      <c r="R77" s="2">
        <v>1</v>
      </c>
      <c r="S77" s="23">
        <v>7</v>
      </c>
      <c r="T77" s="31">
        <v>13700</v>
      </c>
      <c r="U77" s="23">
        <v>1</v>
      </c>
      <c r="V77" s="10">
        <v>13699.95</v>
      </c>
      <c r="AE77" t="s">
        <v>345</v>
      </c>
      <c r="AF77" t="s">
        <v>361</v>
      </c>
      <c r="AG77" s="33" t="s">
        <v>375</v>
      </c>
      <c r="AH77" s="33" t="s">
        <v>376</v>
      </c>
      <c r="AI77" s="2" t="s">
        <v>203</v>
      </c>
      <c r="AK77" s="2" t="s">
        <v>204</v>
      </c>
      <c r="AL77" s="2" t="s">
        <v>40</v>
      </c>
      <c r="AN77" s="2" t="s">
        <v>38</v>
      </c>
    </row>
    <row r="78" spans="2:40" x14ac:dyDescent="0.25">
      <c r="B78" s="2">
        <v>8865</v>
      </c>
      <c r="C78" s="28" t="s">
        <v>182</v>
      </c>
      <c r="D78" t="s">
        <v>198</v>
      </c>
      <c r="E78" t="s">
        <v>346</v>
      </c>
      <c r="F78" s="2" t="str">
        <f t="shared" si="2"/>
        <v>45</v>
      </c>
      <c r="G78" s="2" t="str">
        <f t="shared" si="3"/>
        <v>4575</v>
      </c>
      <c r="H78" s="2">
        <v>457530</v>
      </c>
      <c r="I78" s="2" t="s">
        <v>39</v>
      </c>
      <c r="J78" s="2">
        <v>26814</v>
      </c>
      <c r="K78" s="2" t="s">
        <v>202</v>
      </c>
      <c r="L78" s="2" t="s">
        <v>38</v>
      </c>
      <c r="M78" s="30">
        <v>58.1</v>
      </c>
      <c r="N78" s="23" t="s">
        <v>49</v>
      </c>
      <c r="O78" s="32">
        <v>7000</v>
      </c>
      <c r="P78" s="2" t="s">
        <v>41</v>
      </c>
      <c r="Q78" s="23">
        <v>1</v>
      </c>
      <c r="R78" s="2">
        <v>1</v>
      </c>
      <c r="S78" s="23">
        <v>7</v>
      </c>
      <c r="T78" s="31">
        <v>14000</v>
      </c>
      <c r="U78" s="23">
        <v>1</v>
      </c>
      <c r="V78" s="10">
        <v>13999.95</v>
      </c>
      <c r="AE78" t="s">
        <v>346</v>
      </c>
      <c r="AF78" t="s">
        <v>362</v>
      </c>
      <c r="AG78" s="33" t="s">
        <v>375</v>
      </c>
      <c r="AH78" s="33" t="s">
        <v>376</v>
      </c>
      <c r="AI78" s="2" t="s">
        <v>203</v>
      </c>
      <c r="AK78" s="2" t="s">
        <v>204</v>
      </c>
      <c r="AL78" s="2" t="s">
        <v>40</v>
      </c>
      <c r="AN78" s="2" t="s">
        <v>38</v>
      </c>
    </row>
    <row r="79" spans="2:40" x14ac:dyDescent="0.25">
      <c r="B79" s="2">
        <v>8865</v>
      </c>
      <c r="C79" s="28" t="s">
        <v>183</v>
      </c>
      <c r="D79" t="s">
        <v>199</v>
      </c>
      <c r="E79" t="s">
        <v>347</v>
      </c>
      <c r="F79" s="2" t="str">
        <f t="shared" si="2"/>
        <v>45</v>
      </c>
      <c r="G79" s="2" t="str">
        <f t="shared" si="3"/>
        <v>4575</v>
      </c>
      <c r="H79" s="2">
        <v>457530</v>
      </c>
      <c r="I79" s="2" t="s">
        <v>39</v>
      </c>
      <c r="J79" s="2">
        <v>26814</v>
      </c>
      <c r="K79" s="2" t="s">
        <v>202</v>
      </c>
      <c r="L79" s="2" t="s">
        <v>38</v>
      </c>
      <c r="M79" s="30">
        <v>58</v>
      </c>
      <c r="N79" s="23" t="s">
        <v>49</v>
      </c>
      <c r="O79" s="32">
        <v>6850</v>
      </c>
      <c r="P79" s="2" t="s">
        <v>41</v>
      </c>
      <c r="Q79" s="23">
        <v>1</v>
      </c>
      <c r="R79" s="2">
        <v>1</v>
      </c>
      <c r="S79" s="23">
        <v>7</v>
      </c>
      <c r="T79" s="31">
        <v>13700</v>
      </c>
      <c r="U79" s="23">
        <v>1</v>
      </c>
      <c r="V79" s="10">
        <v>13699.95</v>
      </c>
      <c r="AE79" t="s">
        <v>347</v>
      </c>
      <c r="AF79" t="s">
        <v>363</v>
      </c>
      <c r="AG79" s="33" t="s">
        <v>375</v>
      </c>
      <c r="AH79" s="33" t="s">
        <v>376</v>
      </c>
      <c r="AI79" s="2" t="s">
        <v>203</v>
      </c>
      <c r="AK79" s="2" t="s">
        <v>204</v>
      </c>
      <c r="AL79" s="2" t="s">
        <v>40</v>
      </c>
      <c r="AN79" s="2" t="s">
        <v>38</v>
      </c>
    </row>
    <row r="80" spans="2:40" x14ac:dyDescent="0.25">
      <c r="B80" s="2">
        <v>8865</v>
      </c>
      <c r="C80" s="28" t="s">
        <v>184</v>
      </c>
      <c r="D80" t="s">
        <v>200</v>
      </c>
      <c r="E80" t="s">
        <v>348</v>
      </c>
      <c r="F80" s="2" t="str">
        <f t="shared" si="2"/>
        <v>45</v>
      </c>
      <c r="G80" s="2" t="str">
        <f t="shared" si="3"/>
        <v>4575</v>
      </c>
      <c r="H80" s="2">
        <v>457530</v>
      </c>
      <c r="I80" s="2" t="s">
        <v>39</v>
      </c>
      <c r="J80" s="2">
        <v>26814</v>
      </c>
      <c r="K80" s="2" t="s">
        <v>202</v>
      </c>
      <c r="L80" s="2" t="s">
        <v>38</v>
      </c>
      <c r="M80" s="30">
        <v>58.1</v>
      </c>
      <c r="N80" s="23" t="s">
        <v>49</v>
      </c>
      <c r="O80" s="32">
        <v>7000</v>
      </c>
      <c r="P80" s="2" t="s">
        <v>41</v>
      </c>
      <c r="Q80" s="23">
        <v>1</v>
      </c>
      <c r="R80" s="2">
        <v>1</v>
      </c>
      <c r="S80" s="23">
        <v>7</v>
      </c>
      <c r="T80" s="31">
        <v>14000</v>
      </c>
      <c r="U80" s="23">
        <v>1</v>
      </c>
      <c r="V80" s="10">
        <v>13999.95</v>
      </c>
      <c r="AE80" t="s">
        <v>348</v>
      </c>
      <c r="AF80" t="s">
        <v>364</v>
      </c>
      <c r="AG80" s="33" t="s">
        <v>375</v>
      </c>
      <c r="AH80" s="33" t="s">
        <v>376</v>
      </c>
      <c r="AI80" s="2" t="s">
        <v>203</v>
      </c>
      <c r="AK80" s="2" t="s">
        <v>204</v>
      </c>
      <c r="AL80" s="2" t="s">
        <v>40</v>
      </c>
      <c r="AN80" s="2" t="s">
        <v>38</v>
      </c>
    </row>
    <row r="81" spans="3:22" x14ac:dyDescent="0.25">
      <c r="C81" s="11"/>
      <c r="D81"/>
      <c r="E81"/>
      <c r="N81" s="23"/>
      <c r="O81" s="21"/>
      <c r="Q81" s="23"/>
      <c r="S81" s="23"/>
      <c r="U81" s="23"/>
      <c r="V81" s="10"/>
    </row>
    <row r="82" spans="3:22" x14ac:dyDescent="0.25">
      <c r="C82" s="11"/>
      <c r="D82"/>
      <c r="E82"/>
      <c r="N82" s="23"/>
      <c r="O82" s="21"/>
      <c r="Q82" s="23"/>
      <c r="S82" s="23"/>
      <c r="U82" s="23"/>
      <c r="V82" s="10"/>
    </row>
    <row r="83" spans="3:22" x14ac:dyDescent="0.25">
      <c r="C83" s="11"/>
      <c r="D83"/>
      <c r="E83"/>
      <c r="N83" s="23"/>
      <c r="O83" s="21"/>
      <c r="Q83" s="23"/>
      <c r="S83" s="23"/>
      <c r="U83" s="23"/>
      <c r="V83" s="10"/>
    </row>
    <row r="84" spans="3:22" x14ac:dyDescent="0.25">
      <c r="C84" s="11"/>
      <c r="D84"/>
      <c r="E84"/>
      <c r="N84" s="23"/>
      <c r="O84" s="21"/>
      <c r="Q84" s="23"/>
      <c r="S84" s="23"/>
      <c r="U84" s="23"/>
      <c r="V84" s="10"/>
    </row>
    <row r="85" spans="3:22" x14ac:dyDescent="0.25">
      <c r="C85" s="11"/>
      <c r="D85"/>
      <c r="E85"/>
      <c r="N85" s="23"/>
      <c r="O85" s="21"/>
      <c r="Q85" s="23"/>
      <c r="S85" s="23"/>
      <c r="U85" s="23"/>
      <c r="V85" s="10"/>
    </row>
    <row r="86" spans="3:22" x14ac:dyDescent="0.25">
      <c r="C86" s="11"/>
      <c r="D86"/>
      <c r="E86"/>
      <c r="N86" s="23"/>
      <c r="O86" s="21"/>
      <c r="Q86" s="23"/>
      <c r="S86" s="23"/>
      <c r="U86" s="23"/>
      <c r="V86" s="10"/>
    </row>
    <row r="87" spans="3:22" x14ac:dyDescent="0.25">
      <c r="C87" s="11"/>
      <c r="D87"/>
      <c r="E87"/>
      <c r="N87" s="23"/>
      <c r="O87" s="21"/>
      <c r="Q87" s="23"/>
      <c r="S87" s="23"/>
      <c r="U87" s="23"/>
      <c r="V87" s="10"/>
    </row>
    <row r="88" spans="3:22" x14ac:dyDescent="0.25">
      <c r="C88" s="11"/>
      <c r="D88"/>
      <c r="E88"/>
      <c r="N88" s="23"/>
      <c r="O88" s="21"/>
      <c r="Q88" s="23"/>
      <c r="S88" s="23"/>
      <c r="U88" s="23"/>
      <c r="V88" s="10"/>
    </row>
    <row r="89" spans="3:22" x14ac:dyDescent="0.25">
      <c r="C89" s="11"/>
      <c r="D89"/>
      <c r="E89"/>
      <c r="N89" s="23"/>
      <c r="O89" s="21"/>
      <c r="Q89" s="23"/>
      <c r="S89" s="23"/>
      <c r="U89" s="23"/>
      <c r="V89" s="10"/>
    </row>
    <row r="90" spans="3:22" x14ac:dyDescent="0.25">
      <c r="C90" s="11"/>
      <c r="D90"/>
      <c r="E90"/>
      <c r="N90" s="23"/>
      <c r="O90" s="22"/>
      <c r="Q90" s="24"/>
      <c r="S90" s="23"/>
      <c r="U90" s="23"/>
      <c r="V90" s="10"/>
    </row>
    <row r="91" spans="3:22" x14ac:dyDescent="0.25">
      <c r="C91" s="11"/>
      <c r="D91"/>
      <c r="E91"/>
      <c r="N91" s="23"/>
      <c r="O91" s="21"/>
      <c r="Q91" s="23"/>
      <c r="S91" s="23"/>
      <c r="U91" s="23"/>
      <c r="V91" s="10"/>
    </row>
    <row r="92" spans="3:22" x14ac:dyDescent="0.25">
      <c r="C92" s="11"/>
      <c r="D92"/>
      <c r="E92"/>
      <c r="N92" s="23"/>
      <c r="O92" s="21"/>
      <c r="Q92" s="23"/>
      <c r="S92" s="23"/>
      <c r="U92" s="23"/>
      <c r="V92" s="10"/>
    </row>
    <row r="93" spans="3:22" x14ac:dyDescent="0.25">
      <c r="C93" s="11"/>
      <c r="D93"/>
      <c r="E93"/>
      <c r="N93" s="23"/>
      <c r="O93" s="21"/>
      <c r="Q93" s="23"/>
      <c r="S93" s="23"/>
      <c r="U93" s="23"/>
      <c r="V93" s="10"/>
    </row>
    <row r="94" spans="3:22" x14ac:dyDescent="0.25">
      <c r="C94" s="11"/>
      <c r="D94"/>
      <c r="E94"/>
      <c r="N94" s="23"/>
      <c r="O94" s="21"/>
      <c r="Q94" s="23"/>
      <c r="S94" s="23"/>
      <c r="U94" s="23"/>
      <c r="V94" s="10"/>
    </row>
    <row r="95" spans="3:22" x14ac:dyDescent="0.25">
      <c r="C95" s="11"/>
      <c r="D95"/>
      <c r="E95"/>
      <c r="N95" s="23"/>
      <c r="O95" s="21"/>
      <c r="Q95" s="23"/>
      <c r="S95" s="23"/>
      <c r="U95" s="23"/>
      <c r="V95" s="10"/>
    </row>
    <row r="96" spans="3:22" x14ac:dyDescent="0.25">
      <c r="C96" s="11"/>
      <c r="D96"/>
      <c r="E96"/>
      <c r="N96" s="23"/>
      <c r="O96" s="21"/>
      <c r="Q96" s="23"/>
      <c r="S96" s="23"/>
      <c r="U96" s="23"/>
      <c r="V96" s="10"/>
    </row>
    <row r="97" spans="3:22" x14ac:dyDescent="0.25">
      <c r="C97" s="11"/>
      <c r="D97"/>
      <c r="E97"/>
      <c r="N97" s="23"/>
      <c r="O97" s="21"/>
      <c r="Q97" s="23"/>
      <c r="S97" s="23"/>
      <c r="U97" s="23"/>
      <c r="V97" s="10"/>
    </row>
    <row r="98" spans="3:22" x14ac:dyDescent="0.25">
      <c r="C98" s="11"/>
      <c r="D98"/>
      <c r="E98"/>
      <c r="N98" s="23"/>
      <c r="O98" s="21"/>
      <c r="Q98" s="23"/>
      <c r="S98" s="23"/>
      <c r="U98" s="23"/>
      <c r="V98" s="10"/>
    </row>
    <row r="99" spans="3:22" x14ac:dyDescent="0.25">
      <c r="C99" s="11"/>
      <c r="D99"/>
      <c r="E99"/>
      <c r="N99" s="23"/>
      <c r="O99" s="21"/>
      <c r="Q99" s="23"/>
      <c r="S99" s="23"/>
      <c r="U99" s="23"/>
      <c r="V99" s="10"/>
    </row>
    <row r="100" spans="3:22" x14ac:dyDescent="0.25">
      <c r="C100" s="11"/>
      <c r="D100"/>
      <c r="E100"/>
      <c r="N100" s="23"/>
      <c r="O100" s="21"/>
      <c r="Q100" s="23"/>
      <c r="S100" s="23"/>
      <c r="U100" s="23"/>
      <c r="V100" s="10"/>
    </row>
    <row r="101" spans="3:22" x14ac:dyDescent="0.25">
      <c r="C101" s="11"/>
      <c r="D101"/>
      <c r="E101"/>
      <c r="N101" s="23"/>
      <c r="O101" s="21"/>
      <c r="Q101" s="23"/>
      <c r="S101" s="23"/>
      <c r="U101" s="23"/>
      <c r="V101" s="10"/>
    </row>
    <row r="102" spans="3:22" x14ac:dyDescent="0.25">
      <c r="C102" s="11"/>
      <c r="D102"/>
      <c r="E102"/>
      <c r="N102" s="23"/>
      <c r="O102" s="21"/>
      <c r="Q102" s="23"/>
      <c r="S102" s="23"/>
      <c r="U102" s="23"/>
      <c r="V102" s="10"/>
    </row>
    <row r="103" spans="3:22" x14ac:dyDescent="0.25">
      <c r="C103" s="11"/>
      <c r="D103"/>
      <c r="E103"/>
      <c r="N103" s="23"/>
      <c r="O103" s="21"/>
      <c r="Q103" s="23"/>
      <c r="S103" s="23"/>
      <c r="U103" s="23"/>
      <c r="V103" s="10"/>
    </row>
    <row r="104" spans="3:22" x14ac:dyDescent="0.25">
      <c r="C104" s="11"/>
      <c r="D104"/>
      <c r="E104"/>
      <c r="N104" s="23"/>
      <c r="O104" s="21"/>
      <c r="Q104" s="23"/>
      <c r="S104" s="23"/>
      <c r="U104" s="23"/>
      <c r="V104" s="10"/>
    </row>
    <row r="105" spans="3:22" x14ac:dyDescent="0.25">
      <c r="C105" s="11"/>
      <c r="D105"/>
      <c r="E105"/>
      <c r="N105" s="23"/>
      <c r="O105" s="21"/>
      <c r="Q105" s="23"/>
      <c r="S105" s="23"/>
      <c r="U105" s="23"/>
      <c r="V105" s="10"/>
    </row>
    <row r="106" spans="3:22" x14ac:dyDescent="0.25">
      <c r="C106" s="11"/>
      <c r="D106"/>
      <c r="E106"/>
      <c r="N106" s="23"/>
      <c r="O106" s="21"/>
      <c r="Q106" s="23"/>
      <c r="S106" s="23"/>
      <c r="U106" s="23"/>
      <c r="V106" s="10"/>
    </row>
    <row r="107" spans="3:22" x14ac:dyDescent="0.25">
      <c r="C107" s="11"/>
      <c r="D107"/>
      <c r="E107"/>
      <c r="N107" s="23"/>
      <c r="O107" s="21"/>
      <c r="Q107" s="23"/>
      <c r="S107" s="23"/>
      <c r="U107" s="23"/>
      <c r="V107" s="10"/>
    </row>
    <row r="108" spans="3:22" x14ac:dyDescent="0.25">
      <c r="C108" s="11"/>
      <c r="D108"/>
      <c r="E108"/>
      <c r="N108" s="23"/>
      <c r="O108" s="21"/>
      <c r="Q108" s="23"/>
      <c r="S108" s="23"/>
      <c r="U108" s="23"/>
      <c r="V108" s="10"/>
    </row>
    <row r="109" spans="3:22" x14ac:dyDescent="0.25">
      <c r="C109" s="11"/>
      <c r="D109"/>
      <c r="E109"/>
      <c r="N109" s="23"/>
      <c r="O109" s="21"/>
      <c r="Q109" s="23"/>
      <c r="S109" s="23"/>
      <c r="U109" s="23"/>
      <c r="V109" s="10"/>
    </row>
    <row r="110" spans="3:22" x14ac:dyDescent="0.25">
      <c r="C110" s="11"/>
      <c r="D110"/>
      <c r="E110"/>
      <c r="N110" s="23"/>
      <c r="O110" s="21"/>
      <c r="Q110" s="24"/>
      <c r="S110" s="23"/>
      <c r="U110" s="23"/>
      <c r="V110" s="10"/>
    </row>
    <row r="111" spans="3:22" x14ac:dyDescent="0.25">
      <c r="C111" s="11"/>
      <c r="D111"/>
      <c r="E111"/>
      <c r="N111" s="23"/>
      <c r="O111" s="21"/>
      <c r="Q111" s="23"/>
      <c r="S111" s="23"/>
      <c r="U111" s="23"/>
      <c r="V111" s="10"/>
    </row>
    <row r="112" spans="3:22" x14ac:dyDescent="0.25">
      <c r="C112" s="11"/>
      <c r="D112"/>
      <c r="E112"/>
      <c r="N112" s="23"/>
      <c r="O112" s="21"/>
      <c r="Q112" s="23"/>
      <c r="S112" s="23"/>
      <c r="U112" s="23"/>
      <c r="V112" s="10"/>
    </row>
    <row r="113" spans="3:22" x14ac:dyDescent="0.25">
      <c r="C113" s="11"/>
      <c r="D113"/>
      <c r="E113"/>
      <c r="N113" s="23"/>
      <c r="O113" s="21"/>
      <c r="Q113" s="23"/>
      <c r="S113" s="23"/>
      <c r="U113" s="23"/>
      <c r="V113" s="10"/>
    </row>
    <row r="114" spans="3:22" x14ac:dyDescent="0.25">
      <c r="C114" s="11"/>
      <c r="D114"/>
      <c r="E114"/>
      <c r="N114" s="23"/>
      <c r="O114" s="21"/>
      <c r="Q114" s="23"/>
      <c r="S114" s="23"/>
      <c r="U114" s="23"/>
      <c r="V114" s="10"/>
    </row>
    <row r="115" spans="3:22" x14ac:dyDescent="0.25">
      <c r="C115" s="11"/>
      <c r="D115"/>
      <c r="E115"/>
      <c r="N115" s="23"/>
      <c r="O115" s="21"/>
      <c r="Q115" s="23"/>
      <c r="S115" s="23"/>
      <c r="U115" s="23"/>
      <c r="V115" s="10"/>
    </row>
    <row r="116" spans="3:22" x14ac:dyDescent="0.25">
      <c r="C116" s="11"/>
      <c r="D116"/>
      <c r="E116"/>
      <c r="N116" s="23"/>
      <c r="O116" s="21"/>
      <c r="Q116" s="23"/>
      <c r="S116" s="23"/>
      <c r="U116" s="23"/>
      <c r="V116" s="10"/>
    </row>
    <row r="117" spans="3:22" x14ac:dyDescent="0.25">
      <c r="C117" s="11"/>
      <c r="D117"/>
      <c r="E117"/>
      <c r="N117" s="23"/>
      <c r="O117" s="21"/>
      <c r="Q117" s="23"/>
      <c r="S117" s="23"/>
      <c r="U117" s="23"/>
      <c r="V117" s="10"/>
    </row>
    <row r="118" spans="3:22" x14ac:dyDescent="0.25">
      <c r="C118" s="11"/>
      <c r="D118"/>
      <c r="E118"/>
      <c r="N118" s="23"/>
      <c r="O118" s="21"/>
      <c r="Q118" s="23"/>
      <c r="S118" s="23"/>
      <c r="U118" s="23"/>
      <c r="V118" s="10"/>
    </row>
    <row r="119" spans="3:22" x14ac:dyDescent="0.25">
      <c r="C119" s="11"/>
      <c r="D119"/>
      <c r="E119"/>
      <c r="N119" s="23"/>
      <c r="O119" s="21"/>
      <c r="Q119" s="23"/>
      <c r="S119" s="23"/>
      <c r="U119" s="23"/>
      <c r="V119" s="10"/>
    </row>
    <row r="120" spans="3:22" x14ac:dyDescent="0.25">
      <c r="C120" s="11"/>
      <c r="D120"/>
      <c r="E120"/>
      <c r="N120" s="23"/>
      <c r="O120" s="21"/>
      <c r="Q120" s="23"/>
      <c r="S120" s="23"/>
      <c r="U120" s="23"/>
      <c r="V120" s="10"/>
    </row>
    <row r="121" spans="3:22" x14ac:dyDescent="0.25">
      <c r="C121" s="11"/>
      <c r="D121"/>
      <c r="E121"/>
      <c r="N121" s="23"/>
      <c r="O121" s="21"/>
      <c r="Q121" s="23"/>
      <c r="S121" s="23"/>
      <c r="U121" s="23"/>
      <c r="V121" s="10"/>
    </row>
    <row r="122" spans="3:22" x14ac:dyDescent="0.25">
      <c r="C122" s="11"/>
      <c r="D122"/>
      <c r="E122"/>
      <c r="N122" s="23"/>
      <c r="O122" s="21"/>
      <c r="Q122" s="23"/>
      <c r="S122" s="23"/>
      <c r="U122" s="23"/>
      <c r="V122" s="10"/>
    </row>
    <row r="123" spans="3:22" x14ac:dyDescent="0.25">
      <c r="C123" s="11"/>
      <c r="D123"/>
      <c r="E123"/>
      <c r="N123" s="23"/>
      <c r="O123" s="21"/>
      <c r="Q123" s="23"/>
      <c r="S123" s="23"/>
      <c r="U123" s="23"/>
      <c r="V123" s="10"/>
    </row>
    <row r="124" spans="3:22" x14ac:dyDescent="0.25">
      <c r="C124" s="11"/>
      <c r="D124"/>
      <c r="E124"/>
      <c r="N124" s="23"/>
      <c r="O124" s="21"/>
      <c r="Q124" s="23"/>
      <c r="S124" s="23"/>
      <c r="U124" s="23"/>
      <c r="V124" s="10"/>
    </row>
    <row r="125" spans="3:22" x14ac:dyDescent="0.25">
      <c r="C125" s="11"/>
      <c r="D125"/>
      <c r="E125"/>
      <c r="N125" s="23"/>
      <c r="O125" s="21"/>
      <c r="Q125" s="23"/>
      <c r="S125" s="23"/>
      <c r="U125" s="23"/>
      <c r="V125" s="10"/>
    </row>
    <row r="126" spans="3:22" x14ac:dyDescent="0.25">
      <c r="C126" s="11"/>
      <c r="D126"/>
      <c r="E126"/>
      <c r="N126" s="23"/>
      <c r="O126" s="21"/>
      <c r="Q126" s="23"/>
      <c r="S126" s="23"/>
      <c r="U126" s="23"/>
      <c r="V126" s="10"/>
    </row>
    <row r="127" spans="3:22" x14ac:dyDescent="0.25">
      <c r="C127" s="11"/>
      <c r="D127"/>
      <c r="E127"/>
      <c r="N127" s="23"/>
      <c r="O127" s="21"/>
      <c r="Q127" s="23"/>
      <c r="S127" s="23"/>
      <c r="U127" s="23"/>
      <c r="V127" s="10"/>
    </row>
    <row r="128" spans="3:22" x14ac:dyDescent="0.25">
      <c r="C128" s="11"/>
      <c r="D128"/>
      <c r="E128"/>
      <c r="N128" s="23"/>
      <c r="O128" s="21"/>
      <c r="Q128" s="23"/>
      <c r="S128" s="23"/>
      <c r="U128" s="23"/>
      <c r="V128" s="10"/>
    </row>
    <row r="129" spans="3:22" x14ac:dyDescent="0.25">
      <c r="C129" s="11"/>
      <c r="D129"/>
      <c r="E129"/>
      <c r="N129" s="23"/>
      <c r="O129" s="21"/>
      <c r="Q129" s="23"/>
      <c r="S129" s="23"/>
      <c r="U129" s="23"/>
      <c r="V129" s="10"/>
    </row>
    <row r="130" spans="3:22" x14ac:dyDescent="0.25">
      <c r="C130" s="11"/>
      <c r="D130"/>
      <c r="E130"/>
      <c r="N130" s="23"/>
      <c r="O130" s="21"/>
      <c r="Q130" s="24"/>
      <c r="S130" s="23"/>
      <c r="U130" s="23"/>
      <c r="V130" s="10"/>
    </row>
    <row r="131" spans="3:22" x14ac:dyDescent="0.25">
      <c r="C131" s="11"/>
      <c r="D131"/>
      <c r="E131"/>
      <c r="N131" s="23"/>
      <c r="O131" s="21"/>
      <c r="Q131" s="24"/>
      <c r="S131" s="23"/>
      <c r="U131" s="23"/>
      <c r="V131" s="10"/>
    </row>
    <row r="132" spans="3:22" x14ac:dyDescent="0.25">
      <c r="C132" s="11"/>
      <c r="D132"/>
      <c r="E132"/>
      <c r="N132" s="23"/>
      <c r="O132" s="21"/>
      <c r="Q132" s="23"/>
      <c r="S132" s="23"/>
      <c r="U132" s="23"/>
      <c r="V132" s="10"/>
    </row>
    <row r="133" spans="3:22" x14ac:dyDescent="0.25">
      <c r="C133" s="11"/>
      <c r="D133"/>
      <c r="E133"/>
      <c r="N133" s="23"/>
      <c r="O133" s="21"/>
      <c r="Q133" s="23"/>
      <c r="S133" s="23"/>
      <c r="U133" s="23"/>
      <c r="V133" s="10"/>
    </row>
    <row r="134" spans="3:22" x14ac:dyDescent="0.25">
      <c r="C134" s="11"/>
      <c r="D134"/>
      <c r="E134"/>
      <c r="N134" s="23"/>
      <c r="O134" s="21"/>
      <c r="Q134" s="23"/>
      <c r="S134" s="23"/>
      <c r="U134" s="23"/>
      <c r="V134" s="10"/>
    </row>
    <row r="135" spans="3:22" x14ac:dyDescent="0.25">
      <c r="C135" s="11"/>
      <c r="D135"/>
      <c r="E135"/>
      <c r="N135" s="23"/>
      <c r="O135" s="21"/>
      <c r="Q135" s="23"/>
      <c r="S135" s="23"/>
      <c r="U135" s="23"/>
      <c r="V135" s="10"/>
    </row>
    <row r="136" spans="3:22" x14ac:dyDescent="0.25">
      <c r="C136" s="11"/>
      <c r="D136"/>
      <c r="E136"/>
      <c r="N136" s="23"/>
      <c r="O136" s="21"/>
      <c r="Q136" s="23"/>
      <c r="S136" s="23"/>
      <c r="U136" s="23"/>
      <c r="V136" s="10"/>
    </row>
    <row r="137" spans="3:22" x14ac:dyDescent="0.25">
      <c r="C137" s="11"/>
      <c r="D137"/>
      <c r="E137"/>
      <c r="N137" s="23"/>
      <c r="O137" s="21"/>
      <c r="Q137" s="23"/>
      <c r="S137" s="23"/>
      <c r="U137" s="23"/>
      <c r="V137" s="10"/>
    </row>
    <row r="138" spans="3:22" x14ac:dyDescent="0.25">
      <c r="C138" s="11"/>
      <c r="D138"/>
      <c r="E138"/>
      <c r="N138" s="23"/>
      <c r="O138" s="21"/>
      <c r="Q138" s="23"/>
      <c r="S138" s="23"/>
      <c r="U138" s="23"/>
      <c r="V138" s="10"/>
    </row>
    <row r="139" spans="3:22" x14ac:dyDescent="0.25">
      <c r="C139" s="11"/>
      <c r="D139"/>
      <c r="E139"/>
      <c r="N139" s="23"/>
      <c r="O139" s="21"/>
      <c r="Q139" s="23"/>
      <c r="S139" s="23"/>
      <c r="U139" s="23"/>
      <c r="V139" s="10"/>
    </row>
    <row r="140" spans="3:22" x14ac:dyDescent="0.25">
      <c r="C140" s="11"/>
      <c r="D140"/>
      <c r="E140"/>
      <c r="N140" s="23"/>
      <c r="O140" s="21"/>
      <c r="Q140" s="23"/>
      <c r="S140" s="23"/>
      <c r="U140" s="23"/>
      <c r="V140" s="10"/>
    </row>
    <row r="141" spans="3:22" x14ac:dyDescent="0.25">
      <c r="C141" s="11"/>
      <c r="D141"/>
      <c r="E141"/>
      <c r="N141" s="23"/>
      <c r="O141" s="21"/>
      <c r="Q141" s="23"/>
      <c r="S141" s="23"/>
      <c r="U141" s="23"/>
      <c r="V141" s="10"/>
    </row>
    <row r="142" spans="3:22" x14ac:dyDescent="0.25">
      <c r="C142" s="11"/>
      <c r="D142"/>
      <c r="E142"/>
      <c r="N142" s="23"/>
      <c r="O142" s="21"/>
      <c r="Q142" s="23"/>
      <c r="S142" s="23"/>
      <c r="U142" s="23"/>
      <c r="V142" s="10"/>
    </row>
    <row r="143" spans="3:22" x14ac:dyDescent="0.25">
      <c r="C143" s="11"/>
      <c r="D143"/>
      <c r="E143"/>
      <c r="N143" s="23"/>
      <c r="O143" s="21"/>
      <c r="Q143" s="23"/>
      <c r="S143" s="23"/>
      <c r="U143" s="23"/>
      <c r="V143" s="10"/>
    </row>
    <row r="144" spans="3:22" x14ac:dyDescent="0.25">
      <c r="C144" s="11"/>
      <c r="D144"/>
      <c r="E144"/>
      <c r="N144" s="23"/>
      <c r="O144" s="21"/>
      <c r="Q144" s="23"/>
      <c r="S144" s="23"/>
      <c r="U144" s="23"/>
      <c r="V144" s="10"/>
    </row>
    <row r="145" spans="3:22" x14ac:dyDescent="0.25">
      <c r="C145" s="11"/>
      <c r="D145"/>
      <c r="E145"/>
      <c r="N145" s="23"/>
      <c r="O145" s="21"/>
      <c r="Q145" s="23"/>
      <c r="S145" s="23"/>
      <c r="U145" s="23"/>
      <c r="V145" s="10"/>
    </row>
    <row r="146" spans="3:22" x14ac:dyDescent="0.25">
      <c r="C146" s="11"/>
      <c r="D146"/>
      <c r="E146"/>
      <c r="N146" s="23"/>
      <c r="O146" s="21"/>
      <c r="Q146" s="23"/>
      <c r="S146" s="23"/>
      <c r="U146" s="23"/>
      <c r="V146" s="10"/>
    </row>
    <row r="147" spans="3:22" x14ac:dyDescent="0.25">
      <c r="C147" s="11"/>
      <c r="D147"/>
      <c r="E147"/>
      <c r="N147" s="23"/>
      <c r="O147" s="21"/>
      <c r="Q147" s="23"/>
      <c r="S147" s="23"/>
      <c r="U147" s="23"/>
      <c r="V147" s="10"/>
    </row>
    <row r="148" spans="3:22" x14ac:dyDescent="0.25">
      <c r="C148" s="11"/>
      <c r="D148"/>
      <c r="E148"/>
      <c r="N148" s="23"/>
      <c r="O148" s="21"/>
      <c r="Q148" s="23"/>
      <c r="S148" s="23"/>
      <c r="U148" s="23"/>
      <c r="V148" s="10"/>
    </row>
    <row r="149" spans="3:22" x14ac:dyDescent="0.25">
      <c r="C149" s="11"/>
      <c r="D149"/>
      <c r="E149"/>
      <c r="N149" s="23"/>
      <c r="O149" s="21"/>
      <c r="Q149" s="23"/>
      <c r="S149" s="23"/>
      <c r="U149" s="23"/>
      <c r="V149" s="10"/>
    </row>
    <row r="150" spans="3:22" x14ac:dyDescent="0.25">
      <c r="C150" s="11"/>
      <c r="D150"/>
      <c r="E150"/>
      <c r="N150" s="23"/>
      <c r="O150" s="21"/>
      <c r="Q150" s="23"/>
      <c r="S150" s="23"/>
      <c r="U150" s="23"/>
      <c r="V150" s="10"/>
    </row>
    <row r="151" spans="3:22" x14ac:dyDescent="0.25">
      <c r="C151" s="11"/>
      <c r="D151"/>
      <c r="E151"/>
      <c r="N151" s="23"/>
      <c r="O151" s="21"/>
      <c r="Q151" s="24"/>
      <c r="S151" s="23"/>
      <c r="U151" s="23"/>
      <c r="V151" s="10"/>
    </row>
    <row r="152" spans="3:22" x14ac:dyDescent="0.25">
      <c r="C152" s="11"/>
      <c r="D152"/>
      <c r="E152"/>
      <c r="N152" s="23"/>
      <c r="O152" s="21"/>
      <c r="Q152" s="24"/>
      <c r="S152" s="23"/>
      <c r="U152" s="23"/>
      <c r="V152" s="10"/>
    </row>
    <row r="153" spans="3:22" x14ac:dyDescent="0.25">
      <c r="C153" s="11"/>
      <c r="D153"/>
      <c r="E153"/>
      <c r="N153" s="23"/>
      <c r="O153" s="21"/>
      <c r="Q153" s="23"/>
      <c r="S153" s="23"/>
      <c r="U153" s="23"/>
      <c r="V153" s="10"/>
    </row>
    <row r="154" spans="3:22" x14ac:dyDescent="0.25">
      <c r="C154" s="11"/>
      <c r="D154"/>
      <c r="E154"/>
      <c r="N154" s="23"/>
      <c r="O154" s="21"/>
      <c r="Q154" s="23"/>
      <c r="S154" s="23"/>
      <c r="U154" s="23"/>
      <c r="V154" s="10"/>
    </row>
    <row r="155" spans="3:22" x14ac:dyDescent="0.25">
      <c r="C155" s="11"/>
      <c r="D155"/>
      <c r="E155"/>
      <c r="N155" s="23"/>
      <c r="O155" s="21"/>
      <c r="Q155" s="23"/>
      <c r="S155" s="23"/>
      <c r="U155" s="23"/>
      <c r="V155" s="10"/>
    </row>
    <row r="156" spans="3:22" x14ac:dyDescent="0.25">
      <c r="C156" s="11"/>
      <c r="D156"/>
      <c r="E156"/>
      <c r="N156" s="23"/>
      <c r="O156" s="21"/>
      <c r="Q156" s="23"/>
      <c r="S156" s="23"/>
      <c r="U156" s="23"/>
      <c r="V156" s="10"/>
    </row>
    <row r="157" spans="3:22" x14ac:dyDescent="0.25">
      <c r="C157" s="11"/>
      <c r="D157"/>
      <c r="E157"/>
      <c r="N157" s="23"/>
      <c r="O157" s="22"/>
      <c r="Q157" s="24"/>
      <c r="S157" s="23"/>
      <c r="U157" s="23"/>
      <c r="V157" s="10"/>
    </row>
    <row r="158" spans="3:22" x14ac:dyDescent="0.25">
      <c r="C158" s="11"/>
      <c r="D158"/>
      <c r="E158"/>
      <c r="N158" s="23"/>
      <c r="O158" s="21"/>
      <c r="Q158" s="23"/>
      <c r="S158" s="23"/>
      <c r="U158" s="23"/>
      <c r="V158" s="10"/>
    </row>
    <row r="159" spans="3:22" x14ac:dyDescent="0.25">
      <c r="C159" s="11"/>
      <c r="D159"/>
      <c r="E159"/>
      <c r="N159" s="23"/>
      <c r="O159" s="21"/>
      <c r="Q159" s="23"/>
      <c r="S159" s="23"/>
      <c r="U159" s="23"/>
      <c r="V159" s="10"/>
    </row>
    <row r="160" spans="3:22" x14ac:dyDescent="0.25">
      <c r="C160" s="11"/>
      <c r="D160"/>
      <c r="E160"/>
      <c r="N160" s="23"/>
      <c r="O160" s="21"/>
      <c r="Q160" s="23"/>
      <c r="S160" s="23"/>
      <c r="U160" s="23"/>
      <c r="V160" s="10"/>
    </row>
    <row r="161" spans="3:22" x14ac:dyDescent="0.25">
      <c r="C161" s="11"/>
      <c r="D161"/>
      <c r="E161"/>
      <c r="N161" s="23"/>
      <c r="O161" s="21"/>
      <c r="Q161" s="23"/>
      <c r="S161" s="23"/>
      <c r="U161" s="23"/>
      <c r="V161" s="10"/>
    </row>
    <row r="162" spans="3:22" x14ac:dyDescent="0.25">
      <c r="C162" s="11"/>
      <c r="D162"/>
      <c r="E162"/>
      <c r="N162" s="23"/>
      <c r="O162" s="21"/>
      <c r="Q162" s="23"/>
      <c r="S162" s="23"/>
      <c r="U162" s="23"/>
      <c r="V162" s="10"/>
    </row>
    <row r="163" spans="3:22" x14ac:dyDescent="0.25">
      <c r="C163" s="11"/>
      <c r="D163"/>
      <c r="E163"/>
      <c r="N163" s="23"/>
      <c r="O163" s="21"/>
      <c r="Q163" s="23"/>
      <c r="S163" s="23"/>
      <c r="U163" s="23"/>
      <c r="V163" s="10"/>
    </row>
    <row r="164" spans="3:22" x14ac:dyDescent="0.25">
      <c r="C164" s="11"/>
      <c r="D164"/>
      <c r="E164"/>
      <c r="N164" s="23"/>
      <c r="O164" s="21"/>
      <c r="Q164" s="23"/>
      <c r="S164" s="23"/>
      <c r="U164" s="23"/>
      <c r="V164" s="10"/>
    </row>
    <row r="165" spans="3:22" x14ac:dyDescent="0.25">
      <c r="C165" s="11"/>
      <c r="D165"/>
      <c r="E165"/>
      <c r="N165" s="23"/>
      <c r="O165" s="21"/>
      <c r="Q165" s="23"/>
      <c r="S165" s="23"/>
      <c r="U165" s="23"/>
      <c r="V165" s="10"/>
    </row>
    <row r="166" spans="3:22" x14ac:dyDescent="0.25">
      <c r="C166" s="11"/>
      <c r="D166"/>
      <c r="E166"/>
      <c r="N166" s="23"/>
      <c r="O166" s="21"/>
      <c r="Q166" s="23"/>
      <c r="S166" s="23"/>
      <c r="U166" s="23"/>
      <c r="V166" s="10"/>
    </row>
    <row r="167" spans="3:22" x14ac:dyDescent="0.25">
      <c r="C167" s="11"/>
      <c r="D167"/>
      <c r="E167"/>
      <c r="N167" s="23"/>
      <c r="O167" s="21"/>
      <c r="Q167" s="23"/>
      <c r="S167" s="23"/>
      <c r="U167" s="23"/>
      <c r="V167" s="10"/>
    </row>
    <row r="168" spans="3:22" x14ac:dyDescent="0.25">
      <c r="C168" s="11"/>
      <c r="D168"/>
      <c r="E168"/>
      <c r="N168" s="23"/>
      <c r="O168" s="21"/>
      <c r="Q168" s="23"/>
      <c r="S168" s="23"/>
      <c r="U168" s="23"/>
      <c r="V168" s="10"/>
    </row>
    <row r="169" spans="3:22" x14ac:dyDescent="0.25">
      <c r="C169" s="11"/>
      <c r="D169"/>
      <c r="E169"/>
      <c r="N169" s="23"/>
      <c r="O169" s="21"/>
      <c r="Q169" s="23"/>
      <c r="S169" s="23"/>
      <c r="U169" s="23"/>
      <c r="V169" s="10"/>
    </row>
    <row r="170" spans="3:22" x14ac:dyDescent="0.25">
      <c r="C170" s="11"/>
      <c r="D170"/>
      <c r="E170"/>
      <c r="N170" s="23"/>
      <c r="O170" s="21"/>
      <c r="Q170" s="23"/>
      <c r="S170" s="23"/>
      <c r="U170" s="23"/>
      <c r="V170" s="10"/>
    </row>
    <row r="171" spans="3:22" x14ac:dyDescent="0.25">
      <c r="C171" s="11"/>
      <c r="D171"/>
      <c r="E171"/>
      <c r="N171" s="23"/>
      <c r="O171" s="21"/>
      <c r="Q171" s="23"/>
      <c r="S171" s="23"/>
      <c r="U171" s="23"/>
      <c r="V171" s="10"/>
    </row>
    <row r="172" spans="3:22" x14ac:dyDescent="0.25">
      <c r="C172" s="11"/>
      <c r="D172"/>
      <c r="E172"/>
      <c r="N172" s="23"/>
      <c r="O172" s="21"/>
      <c r="Q172" s="24"/>
      <c r="S172" s="23"/>
      <c r="U172" s="23"/>
      <c r="V172" s="10"/>
    </row>
    <row r="173" spans="3:22" x14ac:dyDescent="0.25">
      <c r="C173" s="11"/>
      <c r="D173"/>
      <c r="E173"/>
      <c r="N173" s="23"/>
      <c r="O173" s="21"/>
      <c r="Q173" s="24"/>
      <c r="S173" s="23"/>
      <c r="U173" s="23"/>
      <c r="V173" s="10"/>
    </row>
    <row r="174" spans="3:22" x14ac:dyDescent="0.25">
      <c r="C174" s="11"/>
      <c r="D174"/>
      <c r="E174"/>
      <c r="N174" s="23"/>
      <c r="O174" s="21"/>
      <c r="Q174" s="23"/>
      <c r="S174" s="23"/>
      <c r="U174" s="23"/>
      <c r="V174" s="10"/>
    </row>
    <row r="175" spans="3:22" x14ac:dyDescent="0.25">
      <c r="C175" s="11"/>
      <c r="D175"/>
      <c r="E175"/>
      <c r="N175" s="23"/>
      <c r="O175" s="21"/>
      <c r="Q175" s="23"/>
      <c r="S175" s="23"/>
      <c r="U175" s="23"/>
      <c r="V175" s="10"/>
    </row>
    <row r="176" spans="3:22" x14ac:dyDescent="0.25">
      <c r="C176" s="11"/>
      <c r="D176"/>
      <c r="E176"/>
      <c r="N176" s="23"/>
      <c r="O176" s="21"/>
      <c r="Q176" s="23"/>
      <c r="S176" s="23"/>
      <c r="U176" s="23"/>
      <c r="V176" s="10"/>
    </row>
    <row r="177" spans="3:22" x14ac:dyDescent="0.25">
      <c r="C177" s="11"/>
      <c r="D177"/>
      <c r="E177"/>
      <c r="N177" s="23"/>
      <c r="O177" s="21"/>
      <c r="Q177" s="23"/>
      <c r="S177" s="23"/>
      <c r="U177" s="23"/>
      <c r="V177" s="10"/>
    </row>
    <row r="178" spans="3:22" x14ac:dyDescent="0.25">
      <c r="C178" s="11"/>
      <c r="D178"/>
      <c r="E178"/>
      <c r="N178" s="23"/>
      <c r="O178" s="21"/>
      <c r="Q178" s="23"/>
      <c r="S178" s="23"/>
      <c r="U178" s="23"/>
      <c r="V178" s="10"/>
    </row>
    <row r="179" spans="3:22" x14ac:dyDescent="0.25">
      <c r="C179" s="11"/>
      <c r="D179"/>
      <c r="E179"/>
      <c r="N179" s="23"/>
      <c r="O179" s="21"/>
      <c r="Q179" s="23"/>
      <c r="S179" s="23"/>
      <c r="U179" s="23"/>
      <c r="V179" s="10"/>
    </row>
    <row r="180" spans="3:22" x14ac:dyDescent="0.25">
      <c r="C180" s="11"/>
      <c r="D180"/>
      <c r="E180"/>
      <c r="N180" s="23"/>
      <c r="O180" s="21"/>
      <c r="Q180" s="23"/>
      <c r="S180" s="23"/>
      <c r="U180" s="23"/>
      <c r="V180" s="10"/>
    </row>
    <row r="181" spans="3:22" x14ac:dyDescent="0.25">
      <c r="C181" s="11"/>
      <c r="D181"/>
      <c r="E181"/>
      <c r="N181" s="23"/>
      <c r="O181" s="21"/>
      <c r="Q181" s="23"/>
      <c r="S181" s="23"/>
      <c r="U181" s="23"/>
      <c r="V181" s="10"/>
    </row>
    <row r="182" spans="3:22" x14ac:dyDescent="0.25">
      <c r="C182" s="11"/>
      <c r="D182"/>
      <c r="E182"/>
      <c r="N182" s="23"/>
      <c r="O182" s="21"/>
      <c r="Q182" s="23"/>
      <c r="S182" s="23"/>
      <c r="U182" s="23"/>
      <c r="V182" s="10"/>
    </row>
    <row r="183" spans="3:22" x14ac:dyDescent="0.25">
      <c r="C183" s="11"/>
      <c r="D183"/>
      <c r="E183"/>
      <c r="N183" s="23"/>
      <c r="O183" s="21"/>
      <c r="Q183" s="23"/>
      <c r="S183" s="23"/>
      <c r="U183" s="23"/>
      <c r="V183" s="10"/>
    </row>
    <row r="184" spans="3:22" x14ac:dyDescent="0.25">
      <c r="C184" s="11"/>
      <c r="D184"/>
      <c r="E184"/>
      <c r="N184" s="23"/>
      <c r="O184" s="21"/>
      <c r="Q184" s="23"/>
      <c r="S184" s="23"/>
      <c r="U184" s="23"/>
      <c r="V184" s="10"/>
    </row>
    <row r="185" spans="3:22" x14ac:dyDescent="0.25">
      <c r="C185" s="11"/>
      <c r="D185"/>
      <c r="E185"/>
      <c r="N185" s="23"/>
      <c r="O185" s="21"/>
      <c r="Q185" s="23"/>
      <c r="S185" s="23"/>
      <c r="U185" s="23"/>
      <c r="V185" s="10"/>
    </row>
    <row r="186" spans="3:22" x14ac:dyDescent="0.25">
      <c r="C186" s="11"/>
      <c r="D186"/>
      <c r="E186"/>
      <c r="N186" s="23"/>
      <c r="O186" s="21"/>
      <c r="Q186" s="23"/>
      <c r="S186" s="23"/>
      <c r="U186" s="23"/>
      <c r="V186" s="10"/>
    </row>
    <row r="187" spans="3:22" x14ac:dyDescent="0.25">
      <c r="C187" s="11"/>
      <c r="D187"/>
      <c r="E187"/>
      <c r="N187" s="23"/>
      <c r="O187" s="21"/>
      <c r="Q187" s="23"/>
      <c r="S187" s="23"/>
      <c r="U187" s="23"/>
      <c r="V187" s="10"/>
    </row>
    <row r="188" spans="3:22" x14ac:dyDescent="0.25">
      <c r="C188" s="11"/>
      <c r="D188"/>
      <c r="E188"/>
      <c r="N188" s="23"/>
      <c r="O188" s="21"/>
      <c r="Q188" s="23"/>
      <c r="S188" s="23"/>
      <c r="U188" s="23"/>
      <c r="V188" s="10"/>
    </row>
    <row r="189" spans="3:22" x14ac:dyDescent="0.25">
      <c r="C189" s="11"/>
      <c r="D189"/>
      <c r="E189"/>
      <c r="N189" s="23"/>
      <c r="O189" s="21"/>
      <c r="Q189" s="23"/>
      <c r="S189" s="23"/>
      <c r="U189" s="23"/>
      <c r="V189" s="10"/>
    </row>
    <row r="190" spans="3:22" x14ac:dyDescent="0.25">
      <c r="C190" s="11"/>
      <c r="D190"/>
      <c r="E190"/>
      <c r="N190" s="23"/>
      <c r="O190" s="21"/>
      <c r="Q190" s="23"/>
      <c r="S190" s="23"/>
      <c r="U190" s="23"/>
      <c r="V190" s="10"/>
    </row>
    <row r="191" spans="3:22" x14ac:dyDescent="0.25">
      <c r="C191" s="11"/>
      <c r="D191"/>
      <c r="E191"/>
      <c r="N191" s="23"/>
      <c r="O191" s="21"/>
      <c r="Q191" s="23"/>
      <c r="S191" s="23"/>
      <c r="U191" s="23"/>
      <c r="V191" s="10"/>
    </row>
    <row r="192" spans="3:22" x14ac:dyDescent="0.25">
      <c r="C192" s="11"/>
      <c r="D192"/>
      <c r="E192"/>
      <c r="N192" s="23"/>
      <c r="O192" s="21"/>
      <c r="Q192" s="23"/>
      <c r="S192" s="23"/>
      <c r="U192" s="23"/>
      <c r="V192" s="10"/>
    </row>
    <row r="193" spans="3:22" x14ac:dyDescent="0.25">
      <c r="C193" s="11"/>
      <c r="D193"/>
      <c r="E193"/>
      <c r="N193" s="23"/>
      <c r="O193" s="21"/>
      <c r="Q193" s="24"/>
      <c r="S193" s="23"/>
      <c r="U193" s="23"/>
      <c r="V193" s="10"/>
    </row>
    <row r="194" spans="3:22" x14ac:dyDescent="0.25">
      <c r="C194" s="11"/>
      <c r="D194"/>
      <c r="E194"/>
      <c r="N194" s="23"/>
      <c r="O194" s="21"/>
      <c r="Q194" s="24"/>
      <c r="S194" s="23"/>
      <c r="U194" s="23"/>
      <c r="V194" s="10"/>
    </row>
    <row r="195" spans="3:22" x14ac:dyDescent="0.25">
      <c r="C195" s="11"/>
      <c r="D195"/>
      <c r="E195"/>
      <c r="N195" s="23"/>
      <c r="O195" s="21"/>
      <c r="Q195" s="23"/>
      <c r="S195" s="23"/>
      <c r="U195" s="23"/>
      <c r="V195" s="10"/>
    </row>
    <row r="196" spans="3:22" x14ac:dyDescent="0.25">
      <c r="C196" s="11"/>
      <c r="D196"/>
      <c r="E196"/>
      <c r="N196" s="23"/>
      <c r="O196" s="21"/>
      <c r="Q196" s="23"/>
      <c r="S196" s="23"/>
      <c r="U196" s="23"/>
      <c r="V196" s="10"/>
    </row>
    <row r="197" spans="3:22" x14ac:dyDescent="0.25">
      <c r="C197" s="11"/>
      <c r="D197"/>
      <c r="E197"/>
      <c r="N197" s="23"/>
      <c r="O197" s="21"/>
      <c r="Q197" s="23"/>
      <c r="S197" s="23"/>
      <c r="U197" s="23"/>
      <c r="V197" s="10"/>
    </row>
    <row r="198" spans="3:22" x14ac:dyDescent="0.25">
      <c r="C198" s="11"/>
      <c r="D198"/>
      <c r="E198"/>
      <c r="N198" s="23"/>
      <c r="O198" s="21"/>
      <c r="Q198" s="23"/>
      <c r="S198" s="23"/>
      <c r="U198" s="23"/>
      <c r="V198" s="10"/>
    </row>
    <row r="199" spans="3:22" x14ac:dyDescent="0.25">
      <c r="C199" s="11"/>
      <c r="D199"/>
      <c r="E199"/>
      <c r="N199" s="23"/>
      <c r="O199" s="21"/>
      <c r="Q199" s="23"/>
      <c r="S199" s="23"/>
      <c r="U199" s="23"/>
      <c r="V199" s="10"/>
    </row>
    <row r="200" spans="3:22" x14ac:dyDescent="0.25">
      <c r="C200" s="11"/>
      <c r="D200"/>
      <c r="E200"/>
      <c r="N200" s="23"/>
      <c r="O200" s="21"/>
      <c r="Q200" s="23"/>
      <c r="S200" s="23"/>
      <c r="U200" s="23"/>
      <c r="V200" s="10"/>
    </row>
    <row r="201" spans="3:22" x14ac:dyDescent="0.25">
      <c r="C201" s="11"/>
      <c r="D201"/>
      <c r="E201"/>
      <c r="N201" s="23"/>
      <c r="O201" s="21"/>
      <c r="Q201" s="23"/>
      <c r="S201" s="23"/>
      <c r="U201" s="23"/>
      <c r="V201" s="10"/>
    </row>
    <row r="202" spans="3:22" x14ac:dyDescent="0.25">
      <c r="C202" s="11"/>
      <c r="D202"/>
      <c r="E202"/>
      <c r="N202" s="23"/>
      <c r="O202" s="21"/>
      <c r="Q202" s="23"/>
      <c r="S202" s="23"/>
      <c r="U202" s="23"/>
      <c r="V202" s="10"/>
    </row>
    <row r="203" spans="3:22" x14ac:dyDescent="0.25">
      <c r="C203" s="11"/>
      <c r="D203"/>
      <c r="E203"/>
      <c r="N203" s="23"/>
      <c r="O203" s="21"/>
      <c r="Q203" s="23"/>
      <c r="S203" s="23"/>
      <c r="U203" s="23"/>
      <c r="V203" s="10"/>
    </row>
    <row r="204" spans="3:22" x14ac:dyDescent="0.25">
      <c r="C204" s="11"/>
      <c r="D204"/>
      <c r="E204"/>
      <c r="N204" s="23"/>
      <c r="O204" s="21"/>
      <c r="Q204" s="23"/>
      <c r="S204" s="23"/>
      <c r="U204" s="23"/>
      <c r="V204" s="10"/>
    </row>
    <row r="205" spans="3:22" x14ac:dyDescent="0.25">
      <c r="C205" s="11"/>
      <c r="D205"/>
      <c r="E205"/>
      <c r="N205" s="23"/>
      <c r="O205" s="21"/>
      <c r="Q205" s="23"/>
      <c r="S205" s="23"/>
      <c r="U205" s="23"/>
      <c r="V205" s="10"/>
    </row>
    <row r="206" spans="3:22" x14ac:dyDescent="0.25">
      <c r="C206" s="11"/>
      <c r="D206"/>
      <c r="E206"/>
      <c r="N206" s="23"/>
      <c r="O206" s="21"/>
      <c r="Q206" s="23"/>
      <c r="S206" s="23"/>
      <c r="U206" s="23"/>
      <c r="V206" s="10"/>
    </row>
    <row r="207" spans="3:22" x14ac:dyDescent="0.25">
      <c r="C207" s="11"/>
      <c r="D207"/>
      <c r="E207"/>
      <c r="N207" s="23"/>
      <c r="O207" s="21"/>
      <c r="Q207" s="23"/>
      <c r="S207" s="23"/>
      <c r="U207" s="23"/>
      <c r="V207" s="10"/>
    </row>
    <row r="208" spans="3:22" x14ac:dyDescent="0.25">
      <c r="C208" s="11"/>
      <c r="D208"/>
      <c r="E208"/>
      <c r="N208" s="23"/>
      <c r="O208" s="21"/>
      <c r="Q208" s="23"/>
      <c r="S208" s="23"/>
      <c r="U208" s="23"/>
      <c r="V208" s="10"/>
    </row>
    <row r="209" spans="3:22" x14ac:dyDescent="0.25">
      <c r="C209" s="11"/>
      <c r="D209"/>
      <c r="E209"/>
      <c r="N209" s="23"/>
      <c r="O209" s="21"/>
      <c r="Q209" s="23"/>
      <c r="S209" s="23"/>
      <c r="U209" s="23"/>
      <c r="V209" s="10"/>
    </row>
    <row r="210" spans="3:22" x14ac:dyDescent="0.25">
      <c r="C210" s="11"/>
      <c r="D210"/>
      <c r="E210"/>
      <c r="N210" s="23"/>
      <c r="O210" s="21"/>
      <c r="Q210" s="23"/>
      <c r="S210" s="23"/>
      <c r="U210" s="23"/>
      <c r="V210" s="10"/>
    </row>
    <row r="211" spans="3:22" x14ac:dyDescent="0.25">
      <c r="C211" s="11"/>
      <c r="D211"/>
      <c r="E211"/>
      <c r="N211" s="23"/>
      <c r="O211" s="21"/>
      <c r="Q211" s="23"/>
      <c r="S211" s="23"/>
      <c r="U211" s="23"/>
      <c r="V211" s="10"/>
    </row>
    <row r="212" spans="3:22" x14ac:dyDescent="0.25">
      <c r="C212" s="11"/>
      <c r="D212"/>
      <c r="E212"/>
      <c r="N212" s="23"/>
      <c r="O212" s="21"/>
      <c r="Q212" s="23"/>
      <c r="S212" s="23"/>
      <c r="U212" s="23"/>
      <c r="V212" s="10"/>
    </row>
    <row r="213" spans="3:22" x14ac:dyDescent="0.25">
      <c r="C213" s="11"/>
      <c r="D213"/>
      <c r="E213"/>
      <c r="N213" s="23"/>
      <c r="O213" s="21"/>
      <c r="Q213" s="23"/>
      <c r="S213" s="23"/>
      <c r="U213" s="23"/>
      <c r="V213" s="10"/>
    </row>
    <row r="214" spans="3:22" x14ac:dyDescent="0.25">
      <c r="C214" s="11"/>
      <c r="D214"/>
      <c r="E214"/>
      <c r="N214" s="23"/>
      <c r="O214" s="21"/>
      <c r="Q214" s="23"/>
      <c r="S214" s="23"/>
      <c r="U214" s="23"/>
      <c r="V214" s="10"/>
    </row>
    <row r="215" spans="3:22" x14ac:dyDescent="0.25">
      <c r="C215" s="11"/>
      <c r="D215"/>
      <c r="E215"/>
      <c r="N215" s="23"/>
      <c r="O215" s="21"/>
      <c r="Q215" s="23"/>
      <c r="S215" s="23"/>
      <c r="U215" s="23"/>
      <c r="V215" s="10"/>
    </row>
    <row r="216" spans="3:22" x14ac:dyDescent="0.25">
      <c r="C216" s="11"/>
      <c r="D216"/>
      <c r="E216"/>
      <c r="N216" s="23"/>
      <c r="O216" s="21"/>
      <c r="Q216" s="23"/>
      <c r="S216" s="23"/>
      <c r="U216" s="23"/>
      <c r="V216" s="10"/>
    </row>
    <row r="217" spans="3:22" x14ac:dyDescent="0.25">
      <c r="C217" s="11"/>
      <c r="D217"/>
      <c r="E217"/>
      <c r="N217" s="23"/>
      <c r="O217" s="21"/>
      <c r="Q217" s="23"/>
      <c r="S217" s="23"/>
      <c r="U217" s="23"/>
      <c r="V217" s="10"/>
    </row>
    <row r="218" spans="3:22" x14ac:dyDescent="0.25">
      <c r="C218" s="11"/>
      <c r="D218"/>
      <c r="E218"/>
      <c r="N218" s="23"/>
      <c r="O218" s="21"/>
      <c r="Q218" s="23"/>
      <c r="S218" s="23"/>
      <c r="U218" s="23"/>
      <c r="V218" s="10"/>
    </row>
    <row r="219" spans="3:22" x14ac:dyDescent="0.25">
      <c r="C219" s="11"/>
      <c r="D219"/>
      <c r="E219"/>
      <c r="N219" s="23"/>
      <c r="O219" s="21"/>
      <c r="Q219" s="23"/>
      <c r="S219" s="23"/>
      <c r="U219" s="23"/>
      <c r="V219" s="10"/>
    </row>
    <row r="220" spans="3:22" x14ac:dyDescent="0.25">
      <c r="C220" s="11"/>
      <c r="D220"/>
      <c r="E220"/>
      <c r="N220" s="23"/>
      <c r="O220" s="21"/>
      <c r="Q220" s="23"/>
      <c r="S220" s="23"/>
      <c r="U220" s="23"/>
      <c r="V220" s="10"/>
    </row>
    <row r="221" spans="3:22" x14ac:dyDescent="0.25">
      <c r="C221" s="11"/>
      <c r="D221"/>
      <c r="E221"/>
      <c r="N221" s="23"/>
      <c r="O221" s="21"/>
      <c r="Q221" s="23"/>
      <c r="S221" s="23"/>
      <c r="U221" s="23"/>
      <c r="V221" s="10"/>
    </row>
    <row r="222" spans="3:22" x14ac:dyDescent="0.25">
      <c r="C222" s="11"/>
      <c r="D222"/>
      <c r="E222"/>
      <c r="N222" s="23"/>
      <c r="O222" s="21"/>
      <c r="Q222" s="23"/>
      <c r="S222" s="23"/>
      <c r="U222" s="23"/>
      <c r="V222" s="10"/>
    </row>
    <row r="223" spans="3:22" x14ac:dyDescent="0.25">
      <c r="C223" s="11"/>
      <c r="D223"/>
      <c r="E223"/>
      <c r="N223" s="23"/>
      <c r="O223" s="21"/>
      <c r="Q223" s="23"/>
      <c r="S223" s="23"/>
      <c r="U223" s="23"/>
      <c r="V223" s="10"/>
    </row>
    <row r="224" spans="3:22" x14ac:dyDescent="0.25">
      <c r="C224" s="11"/>
      <c r="D224"/>
      <c r="E224"/>
      <c r="N224" s="23"/>
      <c r="O224" s="21"/>
      <c r="Q224" s="24"/>
      <c r="S224" s="23"/>
      <c r="U224" s="23"/>
      <c r="V224" s="10"/>
    </row>
    <row r="225" spans="3:22" x14ac:dyDescent="0.25">
      <c r="C225" s="11"/>
      <c r="D225"/>
      <c r="E225"/>
      <c r="N225" s="23"/>
      <c r="O225" s="21"/>
      <c r="Q225" s="24"/>
      <c r="S225" s="23"/>
      <c r="U225" s="23"/>
      <c r="V225" s="10"/>
    </row>
    <row r="226" spans="3:22" x14ac:dyDescent="0.25">
      <c r="C226" s="11"/>
      <c r="D226"/>
      <c r="E226"/>
      <c r="N226" s="23"/>
      <c r="O226" s="21"/>
      <c r="Q226" s="23"/>
      <c r="S226" s="23"/>
      <c r="U226" s="23"/>
      <c r="V226" s="10"/>
    </row>
    <row r="227" spans="3:22" x14ac:dyDescent="0.25">
      <c r="C227" s="11"/>
      <c r="D227"/>
      <c r="E227"/>
      <c r="N227" s="23"/>
      <c r="O227" s="21"/>
      <c r="Q227" s="23"/>
      <c r="S227" s="23"/>
      <c r="U227" s="23"/>
      <c r="V227" s="10"/>
    </row>
    <row r="228" spans="3:22" x14ac:dyDescent="0.25">
      <c r="C228" s="11"/>
      <c r="D228"/>
      <c r="E228"/>
      <c r="N228" s="23"/>
      <c r="O228" s="21"/>
      <c r="Q228" s="23"/>
      <c r="S228" s="23"/>
      <c r="U228" s="23"/>
      <c r="V228" s="10"/>
    </row>
    <row r="229" spans="3:22" x14ac:dyDescent="0.25">
      <c r="C229" s="11"/>
      <c r="D229"/>
      <c r="E229"/>
      <c r="N229" s="23"/>
      <c r="O229" s="21"/>
      <c r="Q229" s="23"/>
      <c r="S229" s="23"/>
      <c r="U229" s="23"/>
      <c r="V229" s="10"/>
    </row>
    <row r="230" spans="3:22" x14ac:dyDescent="0.25">
      <c r="C230" s="11"/>
      <c r="D230"/>
      <c r="E230"/>
      <c r="N230" s="23"/>
      <c r="O230" s="21"/>
      <c r="Q230" s="23"/>
      <c r="S230" s="23"/>
      <c r="U230" s="23"/>
      <c r="V230" s="10"/>
    </row>
    <row r="231" spans="3:22" x14ac:dyDescent="0.25">
      <c r="C231" s="11"/>
      <c r="D231"/>
      <c r="E231"/>
      <c r="N231" s="23"/>
      <c r="O231" s="21"/>
      <c r="Q231" s="23"/>
      <c r="S231" s="23"/>
      <c r="U231" s="23"/>
      <c r="V231" s="10"/>
    </row>
    <row r="232" spans="3:22" x14ac:dyDescent="0.25">
      <c r="C232" s="11"/>
      <c r="D232"/>
      <c r="E232"/>
      <c r="N232" s="23"/>
      <c r="O232" s="21"/>
      <c r="Q232" s="23"/>
      <c r="S232" s="23"/>
      <c r="U232" s="23"/>
      <c r="V232" s="10"/>
    </row>
    <row r="233" spans="3:22" x14ac:dyDescent="0.25">
      <c r="C233" s="11"/>
      <c r="D233"/>
      <c r="E233"/>
      <c r="N233" s="23"/>
      <c r="O233" s="21"/>
      <c r="Q233" s="24"/>
      <c r="S233" s="23"/>
      <c r="U233" s="23"/>
      <c r="V233" s="10"/>
    </row>
    <row r="234" spans="3:22" x14ac:dyDescent="0.25">
      <c r="C234" s="11"/>
      <c r="D234"/>
      <c r="E234"/>
      <c r="N234" s="23"/>
      <c r="O234" s="21"/>
      <c r="Q234" s="23"/>
      <c r="S234" s="23"/>
      <c r="U234" s="23"/>
      <c r="V234" s="10"/>
    </row>
    <row r="235" spans="3:22" x14ac:dyDescent="0.25">
      <c r="C235" s="11"/>
      <c r="D235"/>
      <c r="E235"/>
      <c r="N235" s="23"/>
      <c r="O235" s="21"/>
      <c r="Q235" s="24"/>
      <c r="S235" s="23"/>
      <c r="U235" s="23"/>
      <c r="V235" s="10"/>
    </row>
    <row r="236" spans="3:22" x14ac:dyDescent="0.25">
      <c r="C236" s="11"/>
      <c r="D236"/>
      <c r="E236"/>
      <c r="N236" s="23"/>
      <c r="O236" s="21"/>
      <c r="Q236" s="23"/>
      <c r="S236" s="23"/>
      <c r="U236" s="23"/>
      <c r="V236" s="10"/>
    </row>
    <row r="237" spans="3:22" x14ac:dyDescent="0.25">
      <c r="C237" s="11"/>
      <c r="D237"/>
      <c r="E237"/>
      <c r="N237" s="23"/>
      <c r="O237" s="21"/>
      <c r="Q237" s="24"/>
      <c r="S237" s="23"/>
      <c r="U237" s="23"/>
      <c r="V237" s="10"/>
    </row>
    <row r="238" spans="3:22" x14ac:dyDescent="0.25">
      <c r="C238" s="11"/>
      <c r="D238"/>
      <c r="E238"/>
      <c r="N238" s="23"/>
      <c r="O238" s="21"/>
      <c r="Q238" s="23"/>
      <c r="S238" s="23"/>
      <c r="U238" s="23"/>
      <c r="V238" s="10"/>
    </row>
    <row r="239" spans="3:22" x14ac:dyDescent="0.25">
      <c r="C239" s="11"/>
      <c r="D239"/>
      <c r="E239"/>
      <c r="N239" s="23"/>
      <c r="O239" s="21"/>
      <c r="Q239" s="24"/>
      <c r="S239" s="23"/>
      <c r="U239" s="23"/>
      <c r="V239" s="10"/>
    </row>
    <row r="240" spans="3:22" x14ac:dyDescent="0.25">
      <c r="C240" s="11"/>
      <c r="D240"/>
      <c r="E240"/>
      <c r="N240" s="23"/>
      <c r="O240" s="21"/>
      <c r="Q240" s="23"/>
      <c r="S240" s="23"/>
      <c r="U240" s="23"/>
      <c r="V240" s="10"/>
    </row>
    <row r="241" spans="3:22" x14ac:dyDescent="0.25">
      <c r="C241" s="11"/>
      <c r="D241"/>
      <c r="E241"/>
      <c r="N241" s="23"/>
      <c r="O241" s="21"/>
      <c r="Q241" s="24"/>
      <c r="S241" s="23"/>
      <c r="U241" s="23"/>
      <c r="V241" s="10"/>
    </row>
    <row r="242" spans="3:22" x14ac:dyDescent="0.25">
      <c r="C242" s="11"/>
      <c r="D242"/>
      <c r="E242"/>
      <c r="N242" s="23"/>
      <c r="O242" s="21"/>
      <c r="Q242" s="23"/>
      <c r="S242" s="23"/>
      <c r="U242" s="23"/>
      <c r="V242" s="10"/>
    </row>
    <row r="243" spans="3:22" x14ac:dyDescent="0.25">
      <c r="C243" s="11"/>
      <c r="D243"/>
      <c r="E243"/>
      <c r="N243" s="23"/>
      <c r="O243" s="21"/>
      <c r="Q243" s="24"/>
      <c r="S243" s="23"/>
      <c r="U243" s="23"/>
      <c r="V243" s="10"/>
    </row>
    <row r="244" spans="3:22" x14ac:dyDescent="0.25">
      <c r="C244" s="11"/>
      <c r="D244"/>
      <c r="E244"/>
      <c r="N244" s="23"/>
      <c r="O244" s="21"/>
      <c r="Q244" s="23"/>
      <c r="S244" s="23"/>
      <c r="U244" s="23"/>
      <c r="V244" s="10"/>
    </row>
    <row r="245" spans="3:22" x14ac:dyDescent="0.25">
      <c r="C245" s="11"/>
      <c r="D245"/>
      <c r="E245"/>
      <c r="N245" s="23"/>
      <c r="O245" s="21"/>
      <c r="Q245" s="23"/>
      <c r="S245" s="23"/>
      <c r="U245" s="23"/>
      <c r="V245" s="10"/>
    </row>
    <row r="246" spans="3:22" x14ac:dyDescent="0.25">
      <c r="C246" s="11"/>
      <c r="D246"/>
      <c r="E246"/>
      <c r="N246" s="23"/>
      <c r="O246" s="21"/>
      <c r="Q246" s="23"/>
      <c r="S246" s="23"/>
      <c r="U246" s="23"/>
      <c r="V246" s="10"/>
    </row>
    <row r="247" spans="3:22" x14ac:dyDescent="0.25">
      <c r="C247" s="11"/>
      <c r="D247"/>
      <c r="E247"/>
      <c r="N247" s="23"/>
      <c r="O247" s="21"/>
      <c r="Q247" s="23"/>
      <c r="S247" s="23"/>
      <c r="U247" s="23"/>
      <c r="V247" s="10"/>
    </row>
    <row r="248" spans="3:22" x14ac:dyDescent="0.25">
      <c r="C248" s="11"/>
      <c r="D248"/>
      <c r="E248"/>
      <c r="N248" s="23"/>
      <c r="O248" s="21"/>
      <c r="Q248" s="23"/>
      <c r="S248" s="23"/>
      <c r="U248" s="23"/>
      <c r="V248" s="10"/>
    </row>
    <row r="249" spans="3:22" x14ac:dyDescent="0.25">
      <c r="C249" s="11"/>
      <c r="D249"/>
      <c r="E249"/>
      <c r="N249" s="23"/>
      <c r="O249" s="21"/>
      <c r="Q249" s="23"/>
      <c r="S249" s="23"/>
      <c r="U249" s="23"/>
      <c r="V249" s="10"/>
    </row>
    <row r="250" spans="3:22" x14ac:dyDescent="0.25">
      <c r="C250" s="11"/>
      <c r="D250"/>
      <c r="E250"/>
      <c r="N250" s="23"/>
      <c r="O250" s="21"/>
      <c r="Q250" s="23"/>
      <c r="S250" s="23"/>
      <c r="U250" s="23"/>
      <c r="V250" s="10"/>
    </row>
    <row r="251" spans="3:22" x14ac:dyDescent="0.25">
      <c r="C251" s="11"/>
      <c r="D251"/>
      <c r="E251"/>
      <c r="N251" s="23"/>
      <c r="O251" s="21"/>
      <c r="Q251" s="23"/>
      <c r="S251" s="23"/>
      <c r="U251" s="23"/>
      <c r="V251" s="10"/>
    </row>
    <row r="252" spans="3:22" x14ac:dyDescent="0.25">
      <c r="C252" s="11"/>
      <c r="D252"/>
      <c r="E252"/>
      <c r="N252" s="23"/>
      <c r="O252" s="21"/>
      <c r="Q252" s="23"/>
      <c r="S252" s="23"/>
      <c r="U252" s="23"/>
      <c r="V252" s="10"/>
    </row>
    <row r="253" spans="3:22" x14ac:dyDescent="0.25">
      <c r="C253" s="11"/>
      <c r="D253"/>
      <c r="E253"/>
      <c r="N253" s="23"/>
      <c r="O253" s="21"/>
      <c r="Q253" s="23"/>
      <c r="S253" s="23"/>
      <c r="U253" s="23"/>
      <c r="V253" s="10"/>
    </row>
    <row r="254" spans="3:22" x14ac:dyDescent="0.25">
      <c r="C254" s="11"/>
      <c r="D254"/>
      <c r="E254"/>
      <c r="N254" s="23"/>
      <c r="O254" s="21"/>
      <c r="Q254" s="23"/>
      <c r="S254" s="23"/>
      <c r="U254" s="23"/>
      <c r="V254" s="10"/>
    </row>
    <row r="255" spans="3:22" x14ac:dyDescent="0.25">
      <c r="C255" s="11"/>
      <c r="D255"/>
      <c r="E255"/>
      <c r="N255" s="23"/>
      <c r="O255" s="21"/>
      <c r="Q255" s="24"/>
      <c r="S255" s="23"/>
      <c r="U255" s="23"/>
      <c r="V255" s="10"/>
    </row>
    <row r="256" spans="3:22" x14ac:dyDescent="0.25">
      <c r="C256" s="11"/>
      <c r="D256"/>
      <c r="E256"/>
      <c r="N256" s="23"/>
      <c r="O256" s="21"/>
      <c r="Q256" s="24"/>
      <c r="S256" s="23"/>
      <c r="U256" s="23"/>
      <c r="V256" s="10"/>
    </row>
    <row r="257" spans="3:22" x14ac:dyDescent="0.25">
      <c r="C257" s="11"/>
      <c r="D257"/>
      <c r="E257"/>
      <c r="N257" s="23"/>
      <c r="O257" s="21"/>
      <c r="Q257" s="23"/>
      <c r="S257" s="23"/>
      <c r="U257" s="23"/>
      <c r="V257" s="10"/>
    </row>
    <row r="258" spans="3:22" x14ac:dyDescent="0.25">
      <c r="C258" s="11"/>
      <c r="D258"/>
      <c r="E258"/>
      <c r="N258" s="23"/>
      <c r="O258" s="21"/>
      <c r="Q258" s="23"/>
      <c r="S258" s="23"/>
      <c r="U258" s="23"/>
      <c r="V258" s="10"/>
    </row>
    <row r="259" spans="3:22" x14ac:dyDescent="0.25">
      <c r="C259" s="11"/>
      <c r="D259"/>
      <c r="E259"/>
      <c r="N259" s="23"/>
      <c r="O259" s="21"/>
      <c r="Q259" s="23"/>
      <c r="S259" s="23"/>
      <c r="U259" s="23"/>
      <c r="V259" s="10"/>
    </row>
    <row r="260" spans="3:22" x14ac:dyDescent="0.25">
      <c r="C260" s="11"/>
      <c r="D260"/>
      <c r="E260"/>
      <c r="N260" s="23"/>
      <c r="O260" s="21"/>
      <c r="Q260" s="23"/>
      <c r="S260" s="23"/>
      <c r="U260" s="23"/>
      <c r="V260" s="10"/>
    </row>
    <row r="261" spans="3:22" x14ac:dyDescent="0.25">
      <c r="C261" s="11"/>
      <c r="D261"/>
      <c r="E261"/>
      <c r="N261" s="23"/>
      <c r="O261" s="21"/>
      <c r="Q261" s="23"/>
      <c r="S261" s="23"/>
      <c r="U261" s="23"/>
      <c r="V261" s="10"/>
    </row>
    <row r="262" spans="3:22" x14ac:dyDescent="0.25">
      <c r="C262" s="11"/>
      <c r="D262"/>
      <c r="E262"/>
      <c r="N262" s="23"/>
      <c r="O262" s="21"/>
      <c r="Q262" s="23"/>
      <c r="S262" s="23"/>
      <c r="U262" s="23"/>
      <c r="V262" s="10"/>
    </row>
    <row r="263" spans="3:22" x14ac:dyDescent="0.25">
      <c r="C263" s="11"/>
      <c r="D263"/>
      <c r="E263"/>
      <c r="N263" s="23"/>
      <c r="O263" s="21"/>
      <c r="Q263" s="23"/>
      <c r="S263" s="23"/>
      <c r="U263" s="23"/>
      <c r="V263" s="10"/>
    </row>
    <row r="264" spans="3:22" x14ac:dyDescent="0.25">
      <c r="C264" s="11"/>
      <c r="D264"/>
      <c r="E264"/>
      <c r="N264" s="23"/>
      <c r="O264" s="21"/>
      <c r="Q264" s="23"/>
      <c r="S264" s="23"/>
      <c r="U264" s="23"/>
      <c r="V264" s="10"/>
    </row>
    <row r="265" spans="3:22" x14ac:dyDescent="0.25">
      <c r="C265" s="11"/>
      <c r="D265"/>
      <c r="E265"/>
      <c r="N265" s="23"/>
      <c r="O265" s="21"/>
      <c r="Q265" s="23"/>
      <c r="S265" s="23"/>
      <c r="U265" s="23"/>
      <c r="V265" s="10"/>
    </row>
    <row r="266" spans="3:22" x14ac:dyDescent="0.25">
      <c r="C266" s="11"/>
      <c r="D266"/>
      <c r="E266"/>
      <c r="N266" s="23"/>
      <c r="O266" s="21"/>
      <c r="Q266" s="23"/>
      <c r="S266" s="23"/>
      <c r="U266" s="23"/>
      <c r="V266" s="10"/>
    </row>
    <row r="267" spans="3:22" x14ac:dyDescent="0.25">
      <c r="C267" s="11"/>
      <c r="D267"/>
      <c r="E267"/>
      <c r="N267" s="23"/>
      <c r="O267" s="21"/>
      <c r="Q267" s="23"/>
      <c r="S267" s="23"/>
      <c r="U267" s="23"/>
      <c r="V267" s="10"/>
    </row>
    <row r="268" spans="3:22" x14ac:dyDescent="0.25">
      <c r="C268" s="11"/>
      <c r="D268"/>
      <c r="E268"/>
      <c r="N268" s="23"/>
      <c r="O268" s="21"/>
      <c r="Q268" s="23"/>
      <c r="S268" s="23"/>
      <c r="U268" s="23"/>
      <c r="V268" s="10"/>
    </row>
    <row r="269" spans="3:22" x14ac:dyDescent="0.25">
      <c r="C269" s="11"/>
      <c r="D269"/>
      <c r="E269"/>
      <c r="N269" s="23"/>
      <c r="O269" s="21"/>
      <c r="Q269" s="23"/>
      <c r="S269" s="23"/>
      <c r="U269" s="23"/>
      <c r="V269" s="10"/>
    </row>
    <row r="270" spans="3:22" x14ac:dyDescent="0.25">
      <c r="C270" s="11"/>
      <c r="D270"/>
      <c r="E270"/>
      <c r="N270" s="23"/>
      <c r="O270" s="21"/>
      <c r="Q270" s="23"/>
      <c r="S270" s="23"/>
      <c r="U270" s="23"/>
      <c r="V270" s="10"/>
    </row>
    <row r="271" spans="3:22" x14ac:dyDescent="0.25">
      <c r="C271" s="11"/>
      <c r="D271"/>
      <c r="E271"/>
      <c r="N271" s="23"/>
      <c r="O271" s="21"/>
      <c r="Q271" s="23"/>
      <c r="S271" s="23"/>
      <c r="U271" s="23"/>
      <c r="V271" s="10"/>
    </row>
    <row r="272" spans="3:22" x14ac:dyDescent="0.25">
      <c r="C272" s="11"/>
      <c r="D272"/>
      <c r="E272"/>
      <c r="N272" s="23"/>
      <c r="O272" s="21"/>
      <c r="Q272" s="23"/>
      <c r="S272" s="23"/>
      <c r="U272" s="23"/>
      <c r="V272" s="10"/>
    </row>
    <row r="273" spans="3:22" x14ac:dyDescent="0.25">
      <c r="C273" s="11"/>
      <c r="D273"/>
      <c r="E273"/>
      <c r="N273" s="23"/>
      <c r="O273" s="21"/>
      <c r="Q273" s="23"/>
      <c r="S273" s="23"/>
      <c r="U273" s="23"/>
      <c r="V273" s="10"/>
    </row>
    <row r="274" spans="3:22" x14ac:dyDescent="0.25">
      <c r="C274" s="11"/>
      <c r="D274"/>
      <c r="E274"/>
      <c r="N274" s="23"/>
      <c r="O274" s="21"/>
      <c r="Q274" s="23"/>
      <c r="S274" s="23"/>
      <c r="U274" s="23"/>
      <c r="V274" s="10"/>
    </row>
    <row r="275" spans="3:22" x14ac:dyDescent="0.25">
      <c r="C275" s="11"/>
      <c r="D275"/>
      <c r="E275"/>
      <c r="N275" s="23"/>
      <c r="O275" s="21"/>
      <c r="Q275" s="23"/>
      <c r="S275" s="23"/>
      <c r="U275" s="23"/>
      <c r="V275" s="10"/>
    </row>
    <row r="276" spans="3:22" x14ac:dyDescent="0.25">
      <c r="C276" s="11"/>
      <c r="D276"/>
      <c r="E276"/>
      <c r="N276" s="23"/>
      <c r="O276" s="21"/>
      <c r="Q276" s="23"/>
      <c r="S276" s="23"/>
      <c r="U276" s="23"/>
      <c r="V276" s="10"/>
    </row>
    <row r="277" spans="3:22" x14ac:dyDescent="0.25">
      <c r="C277" s="11"/>
      <c r="D277"/>
      <c r="E277"/>
      <c r="N277" s="23"/>
      <c r="O277" s="21"/>
      <c r="Q277" s="23"/>
      <c r="S277" s="23"/>
      <c r="U277" s="23"/>
      <c r="V277" s="10"/>
    </row>
    <row r="278" spans="3:22" x14ac:dyDescent="0.25">
      <c r="C278" s="11"/>
      <c r="D278"/>
      <c r="E278"/>
      <c r="N278" s="23"/>
      <c r="O278" s="21"/>
      <c r="Q278" s="23"/>
      <c r="S278" s="23"/>
      <c r="U278" s="23"/>
      <c r="V278" s="10"/>
    </row>
    <row r="279" spans="3:22" x14ac:dyDescent="0.25">
      <c r="C279" s="11"/>
      <c r="D279"/>
      <c r="E279"/>
      <c r="N279" s="23"/>
      <c r="O279" s="21"/>
      <c r="Q279" s="23"/>
      <c r="S279" s="23"/>
      <c r="U279" s="23"/>
      <c r="V279" s="10"/>
    </row>
    <row r="280" spans="3:22" x14ac:dyDescent="0.25">
      <c r="C280" s="11"/>
      <c r="D280"/>
      <c r="E280"/>
      <c r="N280" s="23"/>
      <c r="O280" s="21"/>
      <c r="Q280" s="23"/>
      <c r="S280" s="23"/>
      <c r="U280" s="23"/>
      <c r="V280" s="10"/>
    </row>
    <row r="281" spans="3:22" x14ac:dyDescent="0.25">
      <c r="C281" s="11"/>
      <c r="D281"/>
      <c r="E281"/>
      <c r="N281" s="23"/>
      <c r="O281" s="21"/>
      <c r="Q281" s="23"/>
      <c r="S281" s="23"/>
      <c r="U281" s="23"/>
      <c r="V281" s="10"/>
    </row>
    <row r="282" spans="3:22" x14ac:dyDescent="0.25">
      <c r="C282" s="11"/>
      <c r="D282"/>
      <c r="E282"/>
      <c r="N282" s="23"/>
      <c r="O282" s="21"/>
      <c r="Q282" s="23"/>
      <c r="S282" s="23"/>
      <c r="U282" s="23"/>
      <c r="V282" s="10"/>
    </row>
    <row r="283" spans="3:22" x14ac:dyDescent="0.25">
      <c r="C283" s="11"/>
      <c r="D283"/>
      <c r="E283"/>
      <c r="N283" s="23"/>
      <c r="O283" s="21"/>
      <c r="Q283" s="23"/>
      <c r="S283" s="23"/>
      <c r="U283" s="23"/>
      <c r="V283" s="10"/>
    </row>
    <row r="284" spans="3:22" x14ac:dyDescent="0.25">
      <c r="C284" s="11"/>
      <c r="D284"/>
      <c r="E284"/>
      <c r="N284" s="23"/>
      <c r="O284" s="21"/>
      <c r="Q284" s="23"/>
      <c r="S284" s="23"/>
      <c r="U284" s="23"/>
      <c r="V284" s="10"/>
    </row>
    <row r="285" spans="3:22" x14ac:dyDescent="0.25">
      <c r="C285" s="11"/>
      <c r="D285"/>
      <c r="E285"/>
      <c r="N285" s="23"/>
      <c r="O285" s="21"/>
      <c r="Q285" s="23"/>
      <c r="S285" s="23"/>
      <c r="U285" s="23"/>
      <c r="V285" s="10"/>
    </row>
    <row r="286" spans="3:22" x14ac:dyDescent="0.25">
      <c r="C286" s="11"/>
      <c r="D286"/>
      <c r="E286"/>
      <c r="N286" s="23"/>
      <c r="O286" s="21"/>
      <c r="Q286" s="23"/>
      <c r="S286" s="23"/>
      <c r="U286" s="23"/>
      <c r="V286" s="10"/>
    </row>
    <row r="287" spans="3:22" x14ac:dyDescent="0.25">
      <c r="C287" s="11"/>
      <c r="D287"/>
      <c r="E287"/>
      <c r="N287" s="23"/>
      <c r="O287" s="21"/>
      <c r="Q287" s="23"/>
      <c r="S287" s="23"/>
      <c r="U287" s="23"/>
      <c r="V287" s="10"/>
    </row>
    <row r="288" spans="3:22" x14ac:dyDescent="0.25">
      <c r="C288" s="11"/>
      <c r="D288"/>
      <c r="E288"/>
      <c r="N288" s="23"/>
      <c r="O288" s="21"/>
      <c r="Q288" s="23"/>
      <c r="S288" s="23"/>
      <c r="U288" s="23"/>
      <c r="V288" s="10"/>
    </row>
    <row r="289" spans="3:22" x14ac:dyDescent="0.25">
      <c r="C289" s="11"/>
      <c r="D289"/>
      <c r="E289"/>
      <c r="N289" s="23"/>
      <c r="O289" s="21"/>
      <c r="Q289" s="23"/>
      <c r="S289" s="23"/>
      <c r="U289" s="23"/>
      <c r="V289" s="10"/>
    </row>
    <row r="290" spans="3:22" x14ac:dyDescent="0.25">
      <c r="C290" s="11"/>
      <c r="D290"/>
      <c r="E290"/>
      <c r="N290" s="23"/>
      <c r="O290" s="21"/>
      <c r="Q290" s="23"/>
      <c r="S290" s="23"/>
      <c r="U290" s="23"/>
      <c r="V290" s="10"/>
    </row>
    <row r="291" spans="3:22" x14ac:dyDescent="0.25">
      <c r="C291" s="11"/>
      <c r="D291"/>
      <c r="E291"/>
      <c r="N291" s="23"/>
      <c r="O291" s="21"/>
      <c r="Q291" s="23"/>
      <c r="S291" s="23"/>
      <c r="U291" s="23"/>
      <c r="V291" s="10"/>
    </row>
    <row r="292" spans="3:22" x14ac:dyDescent="0.25">
      <c r="C292" s="11"/>
      <c r="D292"/>
      <c r="E292"/>
      <c r="N292" s="23"/>
      <c r="O292" s="21"/>
      <c r="Q292" s="23"/>
      <c r="S292" s="23"/>
      <c r="U292" s="23"/>
      <c r="V292" s="10"/>
    </row>
    <row r="293" spans="3:22" x14ac:dyDescent="0.25">
      <c r="C293" s="11"/>
      <c r="D293"/>
      <c r="E293"/>
      <c r="N293" s="23"/>
      <c r="O293" s="21"/>
      <c r="Q293" s="23"/>
      <c r="S293" s="23"/>
      <c r="U293" s="23"/>
      <c r="V293" s="10"/>
    </row>
    <row r="294" spans="3:22" x14ac:dyDescent="0.25">
      <c r="C294" s="11"/>
      <c r="D294"/>
      <c r="E294"/>
      <c r="N294" s="23"/>
      <c r="O294" s="21"/>
      <c r="Q294" s="23"/>
      <c r="S294" s="23"/>
      <c r="U294" s="23"/>
      <c r="V294" s="10"/>
    </row>
    <row r="295" spans="3:22" x14ac:dyDescent="0.25">
      <c r="C295" s="11"/>
      <c r="D295"/>
      <c r="E295"/>
      <c r="N295" s="23"/>
      <c r="O295" s="21"/>
      <c r="Q295" s="23"/>
      <c r="S295" s="23"/>
      <c r="U295" s="23"/>
      <c r="V295" s="10"/>
    </row>
    <row r="296" spans="3:22" x14ac:dyDescent="0.25">
      <c r="C296" s="11"/>
      <c r="D296"/>
      <c r="E296"/>
      <c r="N296" s="23"/>
      <c r="O296" s="21"/>
      <c r="Q296" s="23"/>
      <c r="S296" s="23"/>
      <c r="U296" s="23"/>
      <c r="V296" s="10"/>
    </row>
    <row r="297" spans="3:22" x14ac:dyDescent="0.25">
      <c r="C297" s="11"/>
      <c r="D297"/>
      <c r="E297"/>
      <c r="N297" s="23"/>
      <c r="O297" s="21"/>
      <c r="Q297" s="23"/>
      <c r="S297" s="23"/>
      <c r="U297" s="23"/>
      <c r="V297" s="10"/>
    </row>
    <row r="298" spans="3:22" x14ac:dyDescent="0.25">
      <c r="C298" s="11"/>
      <c r="D298"/>
      <c r="E298"/>
      <c r="N298" s="23"/>
      <c r="O298" s="21"/>
      <c r="Q298" s="23"/>
      <c r="S298" s="23"/>
      <c r="U298" s="23"/>
      <c r="V298" s="10"/>
    </row>
    <row r="299" spans="3:22" x14ac:dyDescent="0.25">
      <c r="C299" s="11"/>
      <c r="D299"/>
      <c r="E299"/>
      <c r="N299" s="23"/>
      <c r="O299" s="21"/>
      <c r="Q299" s="23"/>
      <c r="S299" s="23"/>
      <c r="U299" s="23"/>
      <c r="V299" s="10"/>
    </row>
    <row r="300" spans="3:22" x14ac:dyDescent="0.25">
      <c r="C300" s="11"/>
      <c r="D300"/>
      <c r="E300"/>
      <c r="N300" s="23"/>
      <c r="O300" s="21"/>
      <c r="Q300" s="23"/>
      <c r="S300" s="23"/>
      <c r="U300" s="23"/>
      <c r="V300" s="10"/>
    </row>
    <row r="301" spans="3:22" x14ac:dyDescent="0.25">
      <c r="C301" s="11"/>
      <c r="D301"/>
      <c r="E301"/>
      <c r="N301" s="23"/>
      <c r="O301" s="21"/>
      <c r="Q301" s="23"/>
      <c r="S301" s="23"/>
      <c r="U301" s="23"/>
      <c r="V301" s="10"/>
    </row>
    <row r="302" spans="3:22" x14ac:dyDescent="0.25">
      <c r="C302" s="11"/>
      <c r="D302"/>
      <c r="E302"/>
      <c r="N302" s="23"/>
      <c r="O302" s="21"/>
      <c r="Q302" s="23"/>
      <c r="S302" s="23"/>
      <c r="U302" s="23"/>
      <c r="V302" s="10"/>
    </row>
    <row r="303" spans="3:22" x14ac:dyDescent="0.25">
      <c r="C303" s="11"/>
      <c r="D303"/>
      <c r="E303"/>
      <c r="N303" s="23"/>
      <c r="O303" s="21"/>
      <c r="Q303" s="23"/>
      <c r="S303" s="23"/>
      <c r="U303" s="23"/>
      <c r="V303" s="10"/>
    </row>
    <row r="304" spans="3:22" x14ac:dyDescent="0.25">
      <c r="C304" s="11"/>
      <c r="D304"/>
      <c r="E304"/>
      <c r="N304" s="23"/>
      <c r="O304" s="21"/>
      <c r="Q304" s="23"/>
      <c r="S304" s="23"/>
      <c r="U304" s="23"/>
      <c r="V304" s="10"/>
    </row>
    <row r="305" spans="3:22" x14ac:dyDescent="0.25">
      <c r="C305" s="11"/>
      <c r="D305"/>
      <c r="E305"/>
      <c r="N305" s="23"/>
      <c r="O305" s="21"/>
      <c r="Q305" s="23"/>
      <c r="S305" s="23"/>
      <c r="U305" s="23"/>
      <c r="V305" s="10"/>
    </row>
    <row r="306" spans="3:22" x14ac:dyDescent="0.25">
      <c r="C306" s="11"/>
      <c r="D306"/>
      <c r="E306"/>
      <c r="N306" s="23"/>
      <c r="O306" s="21"/>
      <c r="Q306" s="24"/>
      <c r="S306" s="23"/>
      <c r="U306" s="23"/>
      <c r="V306" s="10"/>
    </row>
    <row r="307" spans="3:22" x14ac:dyDescent="0.25">
      <c r="C307" s="11"/>
      <c r="D307"/>
      <c r="E307"/>
      <c r="N307" s="23"/>
      <c r="O307" s="21"/>
      <c r="Q307" s="24"/>
      <c r="S307" s="23"/>
      <c r="U307" s="23"/>
      <c r="V307" s="10"/>
    </row>
    <row r="308" spans="3:22" x14ac:dyDescent="0.25">
      <c r="C308" s="11"/>
      <c r="D308"/>
      <c r="E308"/>
      <c r="N308" s="23"/>
      <c r="O308" s="21"/>
      <c r="Q308" s="23"/>
      <c r="S308" s="23"/>
      <c r="U308" s="23"/>
      <c r="V308" s="10"/>
    </row>
    <row r="309" spans="3:22" x14ac:dyDescent="0.25">
      <c r="C309" s="11"/>
      <c r="D309"/>
      <c r="E309"/>
      <c r="N309" s="23"/>
      <c r="O309" s="21"/>
      <c r="Q309" s="23"/>
      <c r="S309" s="23"/>
      <c r="U309" s="23"/>
      <c r="V309" s="10"/>
    </row>
    <row r="310" spans="3:22" x14ac:dyDescent="0.25">
      <c r="C310" s="11"/>
      <c r="D310"/>
      <c r="E310"/>
      <c r="N310" s="23"/>
      <c r="O310" s="21"/>
      <c r="Q310" s="23"/>
      <c r="S310" s="23"/>
      <c r="U310" s="23"/>
      <c r="V310" s="10"/>
    </row>
    <row r="311" spans="3:22" x14ac:dyDescent="0.25">
      <c r="C311" s="11"/>
      <c r="D311"/>
      <c r="E311"/>
      <c r="N311" s="23"/>
      <c r="O311" s="21"/>
      <c r="Q311" s="23"/>
      <c r="S311" s="23"/>
      <c r="U311" s="23"/>
      <c r="V311" s="10"/>
    </row>
    <row r="312" spans="3:22" x14ac:dyDescent="0.25">
      <c r="C312" s="11"/>
      <c r="D312"/>
      <c r="E312"/>
      <c r="N312" s="23"/>
      <c r="O312" s="21"/>
      <c r="Q312" s="23"/>
      <c r="S312" s="23"/>
      <c r="U312" s="23"/>
      <c r="V312" s="10"/>
    </row>
    <row r="313" spans="3:22" x14ac:dyDescent="0.25">
      <c r="C313" s="11"/>
      <c r="D313"/>
      <c r="E313"/>
      <c r="N313" s="23"/>
      <c r="O313" s="21"/>
      <c r="Q313" s="23"/>
      <c r="S313" s="23"/>
      <c r="U313" s="23"/>
      <c r="V313" s="10"/>
    </row>
    <row r="314" spans="3:22" x14ac:dyDescent="0.25">
      <c r="C314" s="11"/>
      <c r="D314"/>
      <c r="E314"/>
      <c r="N314" s="23"/>
      <c r="O314" s="21"/>
      <c r="Q314" s="23"/>
      <c r="S314" s="23"/>
      <c r="U314" s="23"/>
      <c r="V314" s="10"/>
    </row>
    <row r="315" spans="3:22" x14ac:dyDescent="0.25">
      <c r="C315" s="11"/>
      <c r="D315"/>
      <c r="E315"/>
      <c r="N315" s="23"/>
      <c r="O315" s="21"/>
      <c r="Q315" s="23"/>
      <c r="S315" s="23"/>
      <c r="U315" s="23"/>
      <c r="V315" s="10"/>
    </row>
    <row r="316" spans="3:22" x14ac:dyDescent="0.25">
      <c r="C316" s="11"/>
      <c r="D316"/>
      <c r="E316"/>
      <c r="N316" s="23"/>
      <c r="O316" s="21"/>
      <c r="Q316" s="23"/>
      <c r="S316" s="23"/>
      <c r="U316" s="23"/>
      <c r="V316" s="10"/>
    </row>
    <row r="317" spans="3:22" x14ac:dyDescent="0.25">
      <c r="C317" s="11"/>
      <c r="D317"/>
      <c r="E317"/>
      <c r="N317" s="23"/>
      <c r="O317" s="21"/>
      <c r="Q317" s="23"/>
      <c r="S317" s="23"/>
      <c r="U317" s="23"/>
      <c r="V317" s="10"/>
    </row>
    <row r="318" spans="3:22" x14ac:dyDescent="0.25">
      <c r="C318" s="12"/>
      <c r="D318"/>
      <c r="E318"/>
      <c r="N318" s="23"/>
      <c r="O318" s="21"/>
      <c r="Q318" s="23"/>
      <c r="S318" s="23"/>
      <c r="U318" s="23"/>
      <c r="V318" s="10"/>
    </row>
    <row r="319" spans="3:22" x14ac:dyDescent="0.25">
      <c r="C319" s="12"/>
      <c r="D319"/>
      <c r="E319"/>
      <c r="N319" s="23"/>
      <c r="O319" s="21"/>
      <c r="Q319" s="23"/>
      <c r="S319" s="23"/>
      <c r="U319" s="23"/>
      <c r="V319" s="10"/>
    </row>
    <row r="320" spans="3:22" x14ac:dyDescent="0.25">
      <c r="C320" s="12"/>
      <c r="D320"/>
      <c r="E320"/>
      <c r="N320" s="23"/>
      <c r="O320" s="21"/>
      <c r="Q320" s="23"/>
      <c r="S320" s="23"/>
      <c r="U320" s="23"/>
      <c r="V320" s="10"/>
    </row>
    <row r="321" spans="3:22" x14ac:dyDescent="0.25">
      <c r="C321" s="12"/>
      <c r="D321"/>
      <c r="E321"/>
      <c r="N321" s="23"/>
      <c r="O321" s="21"/>
      <c r="Q321" s="23"/>
      <c r="S321" s="23"/>
      <c r="U321" s="23"/>
      <c r="V321" s="10"/>
    </row>
    <row r="322" spans="3:22" x14ac:dyDescent="0.25">
      <c r="C322" s="12"/>
      <c r="D322"/>
      <c r="E322"/>
      <c r="N322" s="23"/>
      <c r="O322" s="21"/>
      <c r="Q322" s="23"/>
      <c r="S322" s="23"/>
      <c r="U322" s="23"/>
      <c r="V322" s="10"/>
    </row>
    <row r="323" spans="3:22" x14ac:dyDescent="0.25">
      <c r="C323" s="12"/>
      <c r="D323"/>
      <c r="E323"/>
      <c r="N323" s="23"/>
      <c r="O323" s="21"/>
      <c r="Q323" s="23"/>
      <c r="S323" s="23"/>
      <c r="U323" s="23"/>
      <c r="V323" s="10"/>
    </row>
    <row r="324" spans="3:22" x14ac:dyDescent="0.25">
      <c r="C324" s="12"/>
      <c r="D324"/>
      <c r="E324"/>
      <c r="N324" s="23"/>
      <c r="O324" s="21"/>
      <c r="Q324" s="23"/>
      <c r="S324" s="23"/>
      <c r="U324" s="23"/>
      <c r="V324" s="10"/>
    </row>
    <row r="325" spans="3:22" x14ac:dyDescent="0.25">
      <c r="C325" s="12"/>
      <c r="D325"/>
      <c r="E325"/>
      <c r="N325" s="23"/>
      <c r="O325" s="21"/>
      <c r="Q325" s="23"/>
      <c r="S325" s="23"/>
      <c r="U325" s="23"/>
      <c r="V325" s="10"/>
    </row>
    <row r="326" spans="3:22" x14ac:dyDescent="0.25">
      <c r="C326" s="12"/>
      <c r="D326"/>
      <c r="E326"/>
      <c r="N326" s="23"/>
      <c r="O326" s="21"/>
      <c r="Q326" s="23"/>
      <c r="S326" s="23"/>
      <c r="U326" s="23"/>
      <c r="V326" s="10"/>
    </row>
    <row r="327" spans="3:22" x14ac:dyDescent="0.25">
      <c r="C327" s="12"/>
      <c r="D327"/>
      <c r="E327"/>
      <c r="N327" s="23"/>
      <c r="O327" s="21"/>
      <c r="Q327" s="23"/>
      <c r="S327" s="23"/>
      <c r="U327" s="23"/>
      <c r="V327" s="10"/>
    </row>
    <row r="328" spans="3:22" x14ac:dyDescent="0.25">
      <c r="C328" s="12"/>
      <c r="D328"/>
      <c r="E328"/>
      <c r="N328" s="23"/>
      <c r="O328" s="21"/>
      <c r="Q328" s="23"/>
      <c r="S328" s="23"/>
      <c r="U328" s="23"/>
      <c r="V328" s="10"/>
    </row>
    <row r="329" spans="3:22" x14ac:dyDescent="0.25">
      <c r="C329" s="12"/>
      <c r="D329"/>
      <c r="E329"/>
      <c r="N329" s="23"/>
      <c r="O329" s="21"/>
      <c r="Q329" s="23"/>
      <c r="S329" s="23"/>
      <c r="U329" s="23"/>
      <c r="V329" s="10"/>
    </row>
    <row r="330" spans="3:22" x14ac:dyDescent="0.25">
      <c r="C330" s="12"/>
      <c r="D330"/>
      <c r="E330"/>
      <c r="N330" s="23"/>
      <c r="O330" s="21"/>
      <c r="Q330" s="23"/>
      <c r="S330" s="23"/>
      <c r="U330" s="23"/>
      <c r="V330" s="10"/>
    </row>
    <row r="331" spans="3:22" x14ac:dyDescent="0.25">
      <c r="C331" s="12"/>
      <c r="D331"/>
      <c r="E331"/>
      <c r="N331" s="23"/>
      <c r="O331" s="21"/>
      <c r="Q331" s="23"/>
      <c r="S331" s="23"/>
      <c r="U331" s="23"/>
      <c r="V331" s="10"/>
    </row>
    <row r="332" spans="3:22" x14ac:dyDescent="0.25">
      <c r="C332" s="12"/>
      <c r="D332"/>
      <c r="E332"/>
      <c r="N332" s="23"/>
      <c r="O332" s="21"/>
      <c r="Q332" s="23"/>
      <c r="S332" s="23"/>
      <c r="U332" s="23"/>
      <c r="V332" s="10"/>
    </row>
    <row r="333" spans="3:22" x14ac:dyDescent="0.25">
      <c r="C333" s="12"/>
      <c r="D333"/>
      <c r="E333"/>
      <c r="N333" s="23"/>
      <c r="O333" s="21"/>
      <c r="Q333" s="23"/>
      <c r="S333" s="23"/>
      <c r="U333" s="23"/>
      <c r="V333" s="10"/>
    </row>
    <row r="334" spans="3:22" x14ac:dyDescent="0.25">
      <c r="C334" s="12"/>
      <c r="D334"/>
      <c r="E334"/>
      <c r="N334" s="23"/>
      <c r="O334" s="21"/>
      <c r="Q334" s="23"/>
      <c r="S334" s="23"/>
      <c r="U334" s="23"/>
      <c r="V334" s="10"/>
    </row>
    <row r="335" spans="3:22" x14ac:dyDescent="0.25">
      <c r="C335" s="12"/>
      <c r="D335"/>
      <c r="E335"/>
      <c r="N335" s="23"/>
      <c r="O335" s="21"/>
      <c r="Q335" s="23"/>
      <c r="S335" s="23"/>
      <c r="U335" s="23"/>
      <c r="V335" s="10"/>
    </row>
    <row r="336" spans="3:22" x14ac:dyDescent="0.25">
      <c r="C336" s="12"/>
      <c r="D336"/>
      <c r="E336"/>
      <c r="N336" s="23"/>
      <c r="O336" s="21"/>
      <c r="Q336" s="23"/>
      <c r="S336" s="23"/>
      <c r="U336" s="23"/>
      <c r="V336" s="10"/>
    </row>
    <row r="337" spans="3:22" x14ac:dyDescent="0.25">
      <c r="C337" s="12"/>
      <c r="D337"/>
      <c r="E337"/>
      <c r="N337" s="23"/>
      <c r="O337" s="21"/>
      <c r="Q337" s="23"/>
      <c r="S337" s="23"/>
      <c r="U337" s="23"/>
      <c r="V337" s="10"/>
    </row>
    <row r="338" spans="3:22" x14ac:dyDescent="0.25">
      <c r="C338" s="12"/>
      <c r="D338"/>
      <c r="E338"/>
      <c r="N338" s="23"/>
      <c r="O338" s="21"/>
      <c r="Q338" s="23"/>
      <c r="S338" s="23"/>
      <c r="U338" s="23"/>
      <c r="V338" s="10"/>
    </row>
    <row r="339" spans="3:22" x14ac:dyDescent="0.25">
      <c r="C339" s="12"/>
      <c r="D339"/>
      <c r="E339"/>
      <c r="N339" s="23"/>
      <c r="O339" s="21"/>
      <c r="Q339" s="23"/>
      <c r="S339" s="23"/>
      <c r="U339" s="23"/>
      <c r="V339" s="10"/>
    </row>
    <row r="340" spans="3:22" x14ac:dyDescent="0.25">
      <c r="C340" s="12"/>
      <c r="D340"/>
      <c r="E340"/>
      <c r="N340" s="23"/>
      <c r="O340" s="22"/>
      <c r="Q340" s="24"/>
      <c r="S340" s="23"/>
      <c r="U340" s="23"/>
      <c r="V340" s="10"/>
    </row>
    <row r="341" spans="3:22" x14ac:dyDescent="0.25">
      <c r="C341" s="12"/>
      <c r="D341"/>
      <c r="E341"/>
      <c r="N341" s="23"/>
      <c r="O341" s="22"/>
      <c r="Q341" s="24"/>
      <c r="S341" s="23"/>
      <c r="U341" s="23"/>
      <c r="V341" s="10"/>
    </row>
    <row r="342" spans="3:22" x14ac:dyDescent="0.25">
      <c r="C342" s="12"/>
      <c r="D342"/>
      <c r="E342"/>
      <c r="N342" s="23"/>
      <c r="O342" s="22"/>
      <c r="Q342" s="24"/>
      <c r="S342" s="23"/>
      <c r="U342" s="23"/>
      <c r="V342" s="10"/>
    </row>
    <row r="343" spans="3:22" x14ac:dyDescent="0.25">
      <c r="C343" s="12"/>
      <c r="D343"/>
      <c r="E343"/>
      <c r="N343" s="23"/>
      <c r="O343" s="22"/>
      <c r="Q343" s="24"/>
      <c r="S343" s="23"/>
      <c r="U343" s="23"/>
      <c r="V343" s="10"/>
    </row>
    <row r="344" spans="3:22" x14ac:dyDescent="0.25">
      <c r="C344" s="12"/>
      <c r="D344"/>
      <c r="E344"/>
      <c r="N344" s="23"/>
      <c r="O344" s="22"/>
      <c r="Q344" s="24"/>
      <c r="S344" s="23"/>
      <c r="U344" s="23"/>
      <c r="V344" s="10"/>
    </row>
    <row r="345" spans="3:22" x14ac:dyDescent="0.25">
      <c r="C345" s="12"/>
      <c r="D345"/>
      <c r="E345"/>
      <c r="N345" s="23"/>
      <c r="O345" s="22"/>
      <c r="Q345" s="24"/>
      <c r="S345" s="23"/>
      <c r="U345" s="23"/>
      <c r="V345" s="10"/>
    </row>
    <row r="346" spans="3:22" x14ac:dyDescent="0.25">
      <c r="C346" s="11"/>
      <c r="D346"/>
      <c r="E346"/>
      <c r="N346" s="23"/>
      <c r="O346" s="21"/>
      <c r="Q346" s="24"/>
      <c r="S346" s="23"/>
      <c r="U346" s="23"/>
      <c r="V346" s="10"/>
    </row>
    <row r="347" spans="3:22" x14ac:dyDescent="0.25">
      <c r="C347" s="11"/>
      <c r="D347"/>
      <c r="E347"/>
      <c r="N347" s="23"/>
      <c r="O347" s="21"/>
      <c r="Q347" s="23"/>
      <c r="S347" s="23"/>
      <c r="U347" s="23"/>
      <c r="V347" s="10"/>
    </row>
    <row r="348" spans="3:22" x14ac:dyDescent="0.25">
      <c r="C348" s="11"/>
      <c r="D348"/>
      <c r="E348"/>
      <c r="N348" s="23"/>
      <c r="O348" s="21"/>
      <c r="Q348" s="23"/>
      <c r="S348" s="23"/>
      <c r="U348" s="23"/>
      <c r="V348" s="10"/>
    </row>
    <row r="349" spans="3:22" x14ac:dyDescent="0.25">
      <c r="C349" s="11"/>
      <c r="D349"/>
      <c r="E349"/>
      <c r="N349" s="23"/>
      <c r="O349" s="21"/>
      <c r="Q349" s="23"/>
      <c r="S349" s="23"/>
      <c r="U349" s="23"/>
      <c r="V349" s="10"/>
    </row>
    <row r="350" spans="3:22" x14ac:dyDescent="0.25">
      <c r="C350" s="11"/>
      <c r="D350"/>
      <c r="E350"/>
      <c r="N350" s="23"/>
      <c r="O350" s="21"/>
      <c r="Q350" s="23"/>
      <c r="S350" s="23"/>
      <c r="U350" s="23"/>
      <c r="V350" s="10"/>
    </row>
    <row r="351" spans="3:22" x14ac:dyDescent="0.25">
      <c r="C351" s="11"/>
      <c r="D351"/>
      <c r="E351"/>
      <c r="N351" s="23"/>
      <c r="O351" s="21"/>
      <c r="Q351" s="24"/>
      <c r="S351" s="23"/>
      <c r="U351" s="23"/>
      <c r="V351" s="10"/>
    </row>
    <row r="352" spans="3:22" x14ac:dyDescent="0.25">
      <c r="C352" s="11"/>
      <c r="D352"/>
      <c r="E352"/>
      <c r="N352" s="23"/>
      <c r="O352" s="22"/>
      <c r="Q352" s="24"/>
      <c r="S352" s="23"/>
      <c r="U352" s="23"/>
      <c r="V352" s="10"/>
    </row>
    <row r="353" spans="3:22" x14ac:dyDescent="0.25">
      <c r="C353" s="11"/>
      <c r="D353"/>
      <c r="E353"/>
      <c r="N353" s="23"/>
      <c r="O353" s="22"/>
      <c r="Q353" s="23"/>
      <c r="S353" s="23"/>
      <c r="U353" s="23"/>
      <c r="V353" s="10"/>
    </row>
    <row r="354" spans="3:22" x14ac:dyDescent="0.25">
      <c r="C354" s="11"/>
      <c r="D354"/>
      <c r="E354"/>
      <c r="N354" s="23"/>
      <c r="O354" s="22"/>
      <c r="Q354" s="24"/>
      <c r="S354" s="23"/>
      <c r="U354" s="23"/>
      <c r="V354" s="10"/>
    </row>
    <row r="355" spans="3:22" x14ac:dyDescent="0.25">
      <c r="C355" s="11"/>
      <c r="D355"/>
      <c r="E355"/>
      <c r="N355" s="23"/>
      <c r="O355" s="22"/>
      <c r="Q355" s="23"/>
      <c r="S355" s="23"/>
      <c r="U355" s="23"/>
      <c r="V355" s="10"/>
    </row>
    <row r="356" spans="3:22" x14ac:dyDescent="0.25">
      <c r="C356" s="11"/>
      <c r="D356"/>
      <c r="E356"/>
      <c r="N356" s="23"/>
      <c r="O356" s="22"/>
      <c r="Q356" s="23"/>
      <c r="S356" s="23"/>
      <c r="U356" s="23"/>
      <c r="V356" s="10"/>
    </row>
    <row r="357" spans="3:22" x14ac:dyDescent="0.25">
      <c r="C357" s="11"/>
      <c r="D357"/>
      <c r="E357"/>
      <c r="N357" s="23"/>
      <c r="O357" s="22"/>
      <c r="Q357" s="23"/>
      <c r="S357" s="23"/>
      <c r="U357" s="23"/>
      <c r="V357" s="10"/>
    </row>
    <row r="358" spans="3:22" x14ac:dyDescent="0.25">
      <c r="C358" s="11"/>
      <c r="D358"/>
      <c r="E358"/>
      <c r="N358" s="23"/>
      <c r="O358" s="22"/>
      <c r="Q358" s="24"/>
      <c r="S358" s="23"/>
      <c r="U358" s="23"/>
      <c r="V358" s="10"/>
    </row>
    <row r="359" spans="3:22" x14ac:dyDescent="0.25">
      <c r="C359" s="11"/>
      <c r="D359"/>
      <c r="E359"/>
      <c r="N359" s="23"/>
      <c r="O359" s="22"/>
      <c r="Q359" s="23"/>
      <c r="S359" s="23"/>
      <c r="U359" s="23"/>
      <c r="V359" s="10"/>
    </row>
    <row r="360" spans="3:22" x14ac:dyDescent="0.25">
      <c r="C360" s="11"/>
      <c r="D360"/>
      <c r="E360"/>
      <c r="N360" s="23"/>
      <c r="O360" s="22"/>
      <c r="Q360" s="24"/>
      <c r="S360" s="23"/>
      <c r="U360" s="23"/>
      <c r="V360" s="10"/>
    </row>
    <row r="361" spans="3:22" x14ac:dyDescent="0.25">
      <c r="C361" s="11"/>
      <c r="D361"/>
      <c r="E361"/>
      <c r="N361" s="23"/>
      <c r="O361" s="22"/>
      <c r="Q361" s="23"/>
      <c r="S361" s="23"/>
      <c r="U361" s="23"/>
      <c r="V361" s="10"/>
    </row>
    <row r="362" spans="3:22" x14ac:dyDescent="0.25">
      <c r="C362" s="11"/>
      <c r="D362"/>
      <c r="E362"/>
      <c r="N362" s="23"/>
      <c r="O362" s="22"/>
      <c r="Q362" s="23"/>
      <c r="S362" s="23"/>
      <c r="U362" s="23"/>
      <c r="V362" s="10"/>
    </row>
    <row r="363" spans="3:22" x14ac:dyDescent="0.25">
      <c r="C363" s="11"/>
      <c r="D363"/>
      <c r="E363"/>
      <c r="N363" s="23"/>
      <c r="O363" s="22"/>
      <c r="Q363" s="24"/>
      <c r="S363" s="23"/>
      <c r="U363" s="23"/>
      <c r="V363" s="10"/>
    </row>
    <row r="364" spans="3:22" x14ac:dyDescent="0.25">
      <c r="C364" s="13"/>
      <c r="D364"/>
      <c r="E364"/>
      <c r="N364" s="23"/>
      <c r="O364" s="22"/>
      <c r="Q364" s="24"/>
      <c r="S364" s="23"/>
      <c r="U364" s="23"/>
      <c r="V364" s="10"/>
    </row>
    <row r="365" spans="3:22" x14ac:dyDescent="0.25">
      <c r="C365" s="13"/>
      <c r="D365"/>
      <c r="E365"/>
      <c r="N365" s="23"/>
      <c r="O365" s="22"/>
      <c r="Q365" s="23"/>
      <c r="S365" s="23"/>
      <c r="U365" s="23"/>
      <c r="V365" s="10"/>
    </row>
    <row r="366" spans="3:22" x14ac:dyDescent="0.25">
      <c r="C366" s="13"/>
      <c r="D366"/>
      <c r="E366"/>
      <c r="N366" s="23"/>
      <c r="O366" s="22"/>
      <c r="Q366" s="23"/>
      <c r="S366" s="23"/>
      <c r="U366" s="23"/>
      <c r="V366" s="10"/>
    </row>
    <row r="367" spans="3:22" x14ac:dyDescent="0.25">
      <c r="C367" s="13"/>
      <c r="D367"/>
      <c r="E367"/>
      <c r="N367" s="23"/>
      <c r="O367" s="22"/>
      <c r="Q367" s="23"/>
      <c r="S367" s="23"/>
      <c r="U367" s="23"/>
      <c r="V367" s="10"/>
    </row>
    <row r="368" spans="3:22" x14ac:dyDescent="0.25">
      <c r="C368" s="13"/>
      <c r="D368"/>
      <c r="E368"/>
      <c r="N368" s="23"/>
      <c r="O368" s="22"/>
      <c r="Q368" s="24"/>
      <c r="S368" s="23"/>
      <c r="U368" s="23"/>
      <c r="V368" s="10"/>
    </row>
    <row r="369" spans="3:22" x14ac:dyDescent="0.25">
      <c r="C369"/>
      <c r="D369"/>
      <c r="E369"/>
      <c r="N369" s="23"/>
      <c r="O369" s="21"/>
      <c r="Q369" s="24"/>
      <c r="S369" s="23"/>
      <c r="U369" s="23"/>
      <c r="V369" s="10"/>
    </row>
    <row r="370" spans="3:22" x14ac:dyDescent="0.25">
      <c r="C370"/>
      <c r="D370"/>
      <c r="E370"/>
      <c r="N370" s="23"/>
      <c r="O370" s="21"/>
      <c r="Q370" s="23"/>
      <c r="S370" s="23"/>
      <c r="U370" s="23"/>
      <c r="V370" s="10"/>
    </row>
    <row r="371" spans="3:22" x14ac:dyDescent="0.25">
      <c r="C371"/>
      <c r="D371"/>
      <c r="E371"/>
      <c r="N371" s="23"/>
      <c r="O371" s="21"/>
      <c r="Q371" s="23"/>
      <c r="S371" s="23"/>
      <c r="U371" s="23"/>
      <c r="V371" s="10"/>
    </row>
    <row r="372" spans="3:22" x14ac:dyDescent="0.25">
      <c r="C372"/>
      <c r="D372"/>
      <c r="E372"/>
      <c r="N372" s="23"/>
      <c r="O372" s="21"/>
      <c r="Q372" s="23"/>
      <c r="S372" s="23"/>
      <c r="U372" s="23"/>
      <c r="V372" s="10"/>
    </row>
    <row r="373" spans="3:22" x14ac:dyDescent="0.25">
      <c r="C373"/>
      <c r="D373"/>
      <c r="E373"/>
      <c r="N373" s="23"/>
      <c r="O373" s="21"/>
      <c r="Q373" s="24"/>
      <c r="S373" s="23"/>
      <c r="U373" s="23"/>
      <c r="V373" s="10"/>
    </row>
    <row r="374" spans="3:22" x14ac:dyDescent="0.25">
      <c r="C374"/>
      <c r="D374"/>
      <c r="E374"/>
      <c r="N374" s="23"/>
      <c r="O374" s="21"/>
      <c r="Q374" s="24"/>
      <c r="S374" s="23"/>
      <c r="U374" s="23"/>
      <c r="V374" s="10"/>
    </row>
    <row r="375" spans="3:22" x14ac:dyDescent="0.25">
      <c r="C375"/>
      <c r="D375"/>
      <c r="E375"/>
      <c r="N375" s="23"/>
      <c r="O375" s="21"/>
      <c r="Q375" s="23"/>
      <c r="S375" s="23"/>
      <c r="U375" s="23"/>
      <c r="V375" s="10"/>
    </row>
    <row r="376" spans="3:22" x14ac:dyDescent="0.25">
      <c r="C376"/>
      <c r="D376"/>
      <c r="E376"/>
      <c r="N376" s="23"/>
      <c r="O376" s="21"/>
      <c r="Q376" s="23"/>
      <c r="S376" s="23"/>
      <c r="U376" s="23"/>
      <c r="V376" s="10"/>
    </row>
    <row r="377" spans="3:22" x14ac:dyDescent="0.25">
      <c r="C377"/>
      <c r="D377"/>
      <c r="E377"/>
      <c r="N377" s="23"/>
      <c r="O377" s="21"/>
      <c r="Q377" s="23"/>
      <c r="S377" s="23"/>
      <c r="U377" s="23"/>
      <c r="V377" s="10"/>
    </row>
    <row r="378" spans="3:22" x14ac:dyDescent="0.25">
      <c r="C378"/>
      <c r="D378"/>
      <c r="E378"/>
      <c r="N378" s="23"/>
      <c r="O378" s="21"/>
      <c r="Q378" s="23"/>
      <c r="S378" s="23"/>
      <c r="U378" s="23"/>
      <c r="V378" s="10"/>
    </row>
    <row r="379" spans="3:22" x14ac:dyDescent="0.25">
      <c r="C379"/>
      <c r="D379"/>
      <c r="E379"/>
      <c r="N379" s="23"/>
      <c r="O379" s="21"/>
      <c r="Q379" s="23"/>
      <c r="S379" s="23"/>
      <c r="U379" s="23"/>
      <c r="V379" s="10"/>
    </row>
    <row r="380" spans="3:22" x14ac:dyDescent="0.25">
      <c r="C380"/>
      <c r="D380"/>
      <c r="E380"/>
      <c r="N380" s="23"/>
      <c r="O380" s="21"/>
      <c r="Q380" s="23"/>
      <c r="S380" s="23"/>
      <c r="U380" s="23"/>
      <c r="V380" s="10"/>
    </row>
    <row r="381" spans="3:22" x14ac:dyDescent="0.25">
      <c r="C381"/>
      <c r="D381"/>
      <c r="E381"/>
      <c r="N381" s="23"/>
      <c r="O381" s="21"/>
      <c r="Q381" s="23"/>
      <c r="S381" s="23"/>
      <c r="U381" s="23"/>
      <c r="V381" s="10"/>
    </row>
    <row r="382" spans="3:22" x14ac:dyDescent="0.25">
      <c r="C382"/>
      <c r="D382"/>
      <c r="E382"/>
      <c r="N382" s="23"/>
      <c r="O382" s="21"/>
      <c r="Q382" s="23"/>
      <c r="S382" s="23"/>
      <c r="U382" s="23"/>
      <c r="V382" s="10"/>
    </row>
    <row r="383" spans="3:22" x14ac:dyDescent="0.25">
      <c r="C383" s="14"/>
      <c r="D383"/>
      <c r="E383"/>
      <c r="N383" s="23"/>
      <c r="O383" s="21"/>
      <c r="Q383" s="23"/>
      <c r="S383" s="23"/>
      <c r="U383" s="23"/>
      <c r="V383" s="10"/>
    </row>
    <row r="384" spans="3:22" x14ac:dyDescent="0.25">
      <c r="C384"/>
      <c r="D384"/>
      <c r="E384"/>
      <c r="N384" s="23"/>
      <c r="O384" s="21"/>
      <c r="Q384" s="24"/>
      <c r="S384" s="23"/>
      <c r="U384" s="23"/>
      <c r="V384" s="10"/>
    </row>
    <row r="385" spans="3:22" x14ac:dyDescent="0.25">
      <c r="C385"/>
      <c r="D385" s="11"/>
      <c r="E385"/>
      <c r="N385" s="23"/>
      <c r="O385" s="21"/>
      <c r="Q385" s="24"/>
      <c r="S385" s="23"/>
      <c r="U385" s="23"/>
      <c r="V385" s="10"/>
    </row>
    <row r="386" spans="3:22" x14ac:dyDescent="0.25">
      <c r="C386"/>
      <c r="D386" s="11"/>
      <c r="E386"/>
      <c r="N386" s="23"/>
      <c r="O386" s="21"/>
      <c r="Q386" s="23"/>
      <c r="S386" s="23"/>
      <c r="U386" s="23"/>
      <c r="V386" s="10"/>
    </row>
    <row r="387" spans="3:22" x14ac:dyDescent="0.25">
      <c r="C387"/>
      <c r="D387" s="11"/>
      <c r="E387"/>
      <c r="N387" s="23"/>
      <c r="O387" s="21"/>
      <c r="Q387" s="23"/>
      <c r="S387" s="23"/>
      <c r="U387" s="23"/>
      <c r="V387" s="10"/>
    </row>
    <row r="388" spans="3:22" x14ac:dyDescent="0.25">
      <c r="C388"/>
      <c r="D388" s="11"/>
      <c r="E388"/>
      <c r="N388" s="23"/>
      <c r="O388" s="21"/>
      <c r="Q388" s="23"/>
      <c r="S388" s="23"/>
      <c r="U388" s="23"/>
      <c r="V388" s="10"/>
    </row>
    <row r="389" spans="3:22" x14ac:dyDescent="0.25">
      <c r="C389"/>
      <c r="D389" s="11"/>
      <c r="E389"/>
      <c r="N389" s="23"/>
      <c r="O389" s="21"/>
      <c r="Q389" s="24"/>
      <c r="S389" s="23"/>
      <c r="U389" s="23"/>
      <c r="V389" s="10"/>
    </row>
    <row r="390" spans="3:22" x14ac:dyDescent="0.25">
      <c r="C390" s="15"/>
      <c r="D390"/>
      <c r="E390"/>
      <c r="N390" s="23"/>
      <c r="O390" s="21"/>
      <c r="Q390" s="24"/>
      <c r="S390" s="23"/>
      <c r="U390" s="23"/>
      <c r="V390" s="10"/>
    </row>
    <row r="391" spans="3:22" x14ac:dyDescent="0.25">
      <c r="C391" s="15"/>
      <c r="D391"/>
      <c r="E391"/>
      <c r="N391" s="23"/>
      <c r="O391" s="21"/>
      <c r="Q391" s="23"/>
      <c r="S391" s="23"/>
      <c r="U391" s="23"/>
      <c r="V391" s="10"/>
    </row>
    <row r="392" spans="3:22" x14ac:dyDescent="0.25">
      <c r="C392" s="15"/>
      <c r="D392"/>
      <c r="E392"/>
      <c r="N392" s="23"/>
      <c r="O392" s="21"/>
      <c r="Q392" s="23"/>
      <c r="S392" s="23"/>
      <c r="U392" s="23"/>
      <c r="V392" s="10"/>
    </row>
    <row r="393" spans="3:22" x14ac:dyDescent="0.25">
      <c r="C393" s="15"/>
      <c r="D393"/>
      <c r="E393"/>
      <c r="N393" s="23"/>
      <c r="O393" s="21"/>
      <c r="Q393" s="23"/>
      <c r="S393" s="23"/>
      <c r="U393" s="23"/>
      <c r="V393" s="10"/>
    </row>
    <row r="394" spans="3:22" x14ac:dyDescent="0.25">
      <c r="C394" s="11"/>
      <c r="D394"/>
      <c r="E394"/>
      <c r="N394" s="23"/>
      <c r="O394" s="21"/>
      <c r="Q394" s="23"/>
      <c r="S394" s="23"/>
      <c r="U394" s="23"/>
      <c r="V394" s="10"/>
    </row>
    <row r="395" spans="3:22" x14ac:dyDescent="0.25">
      <c r="C395" s="11"/>
      <c r="D395"/>
      <c r="E395"/>
      <c r="N395" s="23"/>
      <c r="O395" s="21"/>
      <c r="Q395" s="23"/>
      <c r="S395" s="23"/>
      <c r="U395" s="23"/>
      <c r="V395" s="10"/>
    </row>
    <row r="396" spans="3:22" x14ac:dyDescent="0.25">
      <c r="C396" s="11"/>
      <c r="D396"/>
      <c r="E396"/>
      <c r="N396" s="23"/>
      <c r="O396" s="21"/>
      <c r="Q396" s="23"/>
      <c r="S396" s="23"/>
      <c r="U396" s="23"/>
      <c r="V396" s="10"/>
    </row>
    <row r="397" spans="3:22" x14ac:dyDescent="0.25">
      <c r="C397" s="15"/>
      <c r="D397"/>
      <c r="E397"/>
      <c r="N397" s="23"/>
      <c r="O397" s="21"/>
      <c r="Q397" s="23"/>
      <c r="S397" s="23"/>
      <c r="U397" s="23"/>
      <c r="V397" s="10"/>
    </row>
    <row r="398" spans="3:22" x14ac:dyDescent="0.25">
      <c r="C398" s="15"/>
      <c r="D398"/>
      <c r="E398"/>
      <c r="N398" s="23"/>
      <c r="O398" s="21"/>
      <c r="Q398" s="23"/>
      <c r="S398" s="23"/>
      <c r="U398" s="23"/>
      <c r="V398" s="10"/>
    </row>
    <row r="399" spans="3:22" x14ac:dyDescent="0.25">
      <c r="C399" s="11"/>
      <c r="D399"/>
      <c r="E399"/>
      <c r="N399" s="23"/>
      <c r="O399" s="21"/>
      <c r="Q399" s="23"/>
      <c r="S399" s="23"/>
      <c r="U399" s="23"/>
      <c r="V399" s="10"/>
    </row>
    <row r="400" spans="3:22" x14ac:dyDescent="0.25">
      <c r="C400" s="11"/>
      <c r="D400"/>
      <c r="E400"/>
      <c r="N400" s="23"/>
      <c r="O400" s="21"/>
      <c r="Q400" s="23"/>
      <c r="S400" s="23"/>
      <c r="U400" s="23"/>
      <c r="V400" s="10"/>
    </row>
    <row r="401" spans="3:22" x14ac:dyDescent="0.25">
      <c r="C401" s="11"/>
      <c r="D401"/>
      <c r="E401"/>
      <c r="N401" s="23"/>
      <c r="O401" s="21"/>
      <c r="Q401" s="24"/>
      <c r="S401" s="23"/>
      <c r="U401" s="23"/>
      <c r="V401" s="10"/>
    </row>
    <row r="402" spans="3:22" x14ac:dyDescent="0.25">
      <c r="C402" s="11"/>
      <c r="D402" s="19"/>
      <c r="E402"/>
      <c r="N402" s="23"/>
      <c r="O402" s="22"/>
      <c r="Q402" s="24"/>
      <c r="S402" s="23"/>
      <c r="U402" s="23"/>
      <c r="V402" s="10"/>
    </row>
    <row r="403" spans="3:22" x14ac:dyDescent="0.25">
      <c r="C403" s="15"/>
      <c r="D403" s="19"/>
      <c r="E403"/>
      <c r="N403" s="23"/>
      <c r="O403" s="22"/>
      <c r="Q403" s="23"/>
      <c r="S403" s="23"/>
      <c r="U403" s="23"/>
      <c r="V403" s="10"/>
    </row>
    <row r="404" spans="3:22" x14ac:dyDescent="0.25">
      <c r="C404" s="11"/>
      <c r="D404" s="19"/>
      <c r="E404"/>
      <c r="N404" s="23"/>
      <c r="O404" s="22"/>
      <c r="Q404" s="23"/>
      <c r="S404" s="23"/>
      <c r="U404" s="23"/>
      <c r="V404" s="10"/>
    </row>
    <row r="405" spans="3:22" x14ac:dyDescent="0.25">
      <c r="C405" s="11"/>
      <c r="D405" s="19"/>
      <c r="E405"/>
      <c r="N405" s="23"/>
      <c r="O405" s="22"/>
      <c r="Q405" s="23"/>
      <c r="S405" s="23"/>
      <c r="U405" s="23"/>
      <c r="V405" s="10"/>
    </row>
    <row r="406" spans="3:22" x14ac:dyDescent="0.25">
      <c r="C406" s="11"/>
      <c r="D406" s="19"/>
      <c r="E406"/>
      <c r="N406" s="23"/>
      <c r="O406" s="22"/>
      <c r="Q406" s="23"/>
      <c r="S406" s="23"/>
      <c r="U406" s="23"/>
      <c r="V406" s="10"/>
    </row>
    <row r="407" spans="3:22" x14ac:dyDescent="0.25">
      <c r="C407" s="11"/>
      <c r="D407" s="19"/>
      <c r="E407"/>
      <c r="N407" s="23"/>
      <c r="O407" s="22"/>
      <c r="Q407" s="23"/>
      <c r="S407" s="23"/>
      <c r="U407" s="23"/>
      <c r="V407" s="10"/>
    </row>
    <row r="408" spans="3:22" x14ac:dyDescent="0.25">
      <c r="C408" s="11"/>
      <c r="D408" s="19"/>
      <c r="E408"/>
      <c r="N408" s="23"/>
      <c r="O408" s="22"/>
      <c r="Q408" s="23"/>
      <c r="S408" s="23"/>
      <c r="U408" s="23"/>
      <c r="V408" s="10"/>
    </row>
    <row r="409" spans="3:22" x14ac:dyDescent="0.25">
      <c r="C409" s="11"/>
      <c r="D409" s="19"/>
      <c r="E409"/>
      <c r="N409" s="23"/>
      <c r="O409" s="22"/>
      <c r="Q409" s="23"/>
      <c r="S409" s="23"/>
      <c r="U409" s="23"/>
      <c r="V409" s="10"/>
    </row>
    <row r="410" spans="3:22" x14ac:dyDescent="0.25">
      <c r="C410" s="11"/>
      <c r="D410" s="19"/>
      <c r="E410"/>
      <c r="N410" s="23"/>
      <c r="O410" s="22"/>
      <c r="Q410" s="24"/>
      <c r="S410" s="23"/>
      <c r="U410" s="23"/>
      <c r="V410" s="10"/>
    </row>
    <row r="411" spans="3:22" x14ac:dyDescent="0.25">
      <c r="C411"/>
      <c r="D411"/>
      <c r="E411"/>
      <c r="N411" s="23"/>
      <c r="O411" s="22"/>
      <c r="Q411" s="24"/>
      <c r="S411" s="23"/>
      <c r="U411" s="23"/>
      <c r="V411" s="10"/>
    </row>
    <row r="412" spans="3:22" x14ac:dyDescent="0.25">
      <c r="C412"/>
      <c r="D412"/>
      <c r="E412"/>
      <c r="N412" s="23"/>
      <c r="O412" s="22"/>
      <c r="Q412" s="24"/>
      <c r="S412" s="23"/>
      <c r="U412" s="23"/>
      <c r="V412" s="10"/>
    </row>
    <row r="413" spans="3:22" x14ac:dyDescent="0.25">
      <c r="C413" s="16"/>
      <c r="D413"/>
      <c r="E413"/>
      <c r="N413" s="23"/>
      <c r="O413" s="21"/>
      <c r="Q413" s="24"/>
      <c r="S413" s="23"/>
      <c r="U413" s="23"/>
      <c r="V413" s="10"/>
    </row>
    <row r="414" spans="3:22" x14ac:dyDescent="0.25">
      <c r="C414" s="16"/>
      <c r="D414"/>
      <c r="E414"/>
      <c r="N414" s="23"/>
      <c r="O414" s="21"/>
      <c r="Q414" s="23"/>
      <c r="S414" s="23"/>
      <c r="U414" s="23"/>
      <c r="V414" s="10"/>
    </row>
    <row r="415" spans="3:22" x14ac:dyDescent="0.25">
      <c r="C415" s="16"/>
      <c r="D415"/>
      <c r="E415"/>
      <c r="N415" s="23"/>
      <c r="O415" s="21"/>
      <c r="Q415" s="23"/>
      <c r="S415" s="23"/>
      <c r="U415" s="23"/>
      <c r="V415" s="10"/>
    </row>
    <row r="416" spans="3:22" x14ac:dyDescent="0.25">
      <c r="C416" s="11"/>
      <c r="D416"/>
      <c r="E416"/>
      <c r="N416" s="23"/>
      <c r="O416" s="21"/>
      <c r="Q416" s="24"/>
      <c r="S416" s="23"/>
      <c r="U416" s="23"/>
      <c r="V416" s="10"/>
    </row>
    <row r="417" spans="3:22" x14ac:dyDescent="0.25">
      <c r="C417" s="15"/>
      <c r="D417"/>
      <c r="E417"/>
      <c r="N417" s="23"/>
      <c r="O417" s="21"/>
      <c r="Q417" s="23"/>
      <c r="S417" s="23"/>
      <c r="U417" s="23"/>
      <c r="V417" s="10"/>
    </row>
    <row r="418" spans="3:22" x14ac:dyDescent="0.25">
      <c r="C418" s="15"/>
      <c r="D418"/>
      <c r="E418"/>
      <c r="N418" s="23"/>
      <c r="O418" s="21"/>
      <c r="Q418" s="23"/>
      <c r="S418" s="23"/>
      <c r="U418" s="23"/>
      <c r="V418" s="10"/>
    </row>
    <row r="419" spans="3:22" x14ac:dyDescent="0.25">
      <c r="C419" s="15"/>
      <c r="D419"/>
      <c r="E419"/>
      <c r="N419" s="23"/>
      <c r="O419" s="21"/>
      <c r="Q419" s="23"/>
      <c r="S419" s="23"/>
      <c r="U419" s="23"/>
      <c r="V419" s="10"/>
    </row>
    <row r="420" spans="3:22" x14ac:dyDescent="0.25">
      <c r="C420" s="15"/>
      <c r="D420"/>
      <c r="E420"/>
      <c r="N420" s="23"/>
      <c r="O420" s="21"/>
      <c r="Q420" s="23"/>
      <c r="S420" s="23"/>
      <c r="U420" s="23"/>
      <c r="V420" s="10"/>
    </row>
    <row r="421" spans="3:22" x14ac:dyDescent="0.25">
      <c r="C421" s="15"/>
      <c r="D421"/>
      <c r="E421"/>
      <c r="N421" s="23"/>
      <c r="O421" s="21"/>
      <c r="Q421" s="23"/>
      <c r="S421" s="23"/>
      <c r="U421" s="23"/>
      <c r="V421" s="10"/>
    </row>
    <row r="422" spans="3:22" x14ac:dyDescent="0.25">
      <c r="C422" s="15"/>
      <c r="D422"/>
      <c r="E422"/>
      <c r="N422" s="23"/>
      <c r="O422" s="21"/>
      <c r="Q422" s="23"/>
      <c r="S422" s="23"/>
      <c r="U422" s="23"/>
      <c r="V422" s="10"/>
    </row>
    <row r="423" spans="3:22" x14ac:dyDescent="0.25">
      <c r="C423" s="15"/>
      <c r="D423"/>
      <c r="E423"/>
      <c r="N423" s="23"/>
      <c r="O423" s="21"/>
      <c r="Q423" s="23"/>
      <c r="S423" s="23"/>
      <c r="U423" s="23"/>
      <c r="V423" s="10"/>
    </row>
    <row r="424" spans="3:22" x14ac:dyDescent="0.25">
      <c r="C424" s="15"/>
      <c r="D424"/>
      <c r="E424"/>
      <c r="N424" s="23"/>
      <c r="O424" s="21"/>
      <c r="Q424" s="23"/>
      <c r="S424" s="23"/>
      <c r="U424" s="23"/>
      <c r="V424" s="10"/>
    </row>
    <row r="425" spans="3:22" x14ac:dyDescent="0.25">
      <c r="C425" s="15"/>
      <c r="D425"/>
      <c r="E425"/>
      <c r="N425" s="23"/>
      <c r="O425" s="21"/>
      <c r="Q425" s="23"/>
      <c r="S425" s="23"/>
      <c r="U425" s="23"/>
      <c r="V425" s="10"/>
    </row>
    <row r="426" spans="3:22" x14ac:dyDescent="0.25">
      <c r="C426" s="15"/>
      <c r="D426"/>
      <c r="E426"/>
      <c r="N426" s="23"/>
      <c r="O426" s="21"/>
      <c r="Q426" s="23"/>
      <c r="S426" s="23"/>
      <c r="U426" s="23"/>
      <c r="V426" s="10"/>
    </row>
    <row r="427" spans="3:22" x14ac:dyDescent="0.25">
      <c r="C427" s="15"/>
      <c r="D427"/>
      <c r="E427"/>
      <c r="N427" s="23"/>
      <c r="O427" s="21"/>
      <c r="Q427" s="23"/>
      <c r="S427" s="23"/>
      <c r="U427" s="23"/>
      <c r="V427" s="10"/>
    </row>
    <row r="428" spans="3:22" x14ac:dyDescent="0.25">
      <c r="C428" s="15"/>
      <c r="D428"/>
      <c r="E428"/>
      <c r="N428" s="23"/>
      <c r="O428" s="21"/>
      <c r="Q428" s="23"/>
      <c r="S428" s="23"/>
      <c r="U428" s="23"/>
      <c r="V428" s="10"/>
    </row>
    <row r="429" spans="3:22" x14ac:dyDescent="0.25">
      <c r="C429" s="15"/>
      <c r="D429"/>
      <c r="E429"/>
      <c r="N429" s="23"/>
      <c r="O429" s="21"/>
      <c r="Q429" s="23"/>
      <c r="S429" s="23"/>
      <c r="U429" s="23"/>
      <c r="V429" s="10"/>
    </row>
    <row r="430" spans="3:22" x14ac:dyDescent="0.25">
      <c r="C430" s="15"/>
      <c r="D430"/>
      <c r="E430"/>
      <c r="N430" s="23"/>
      <c r="O430" s="21"/>
      <c r="Q430" s="23"/>
      <c r="S430" s="23"/>
      <c r="U430" s="23"/>
      <c r="V430" s="10"/>
    </row>
    <row r="431" spans="3:22" x14ac:dyDescent="0.25">
      <c r="C431" s="15"/>
      <c r="D431"/>
      <c r="E431"/>
      <c r="N431" s="23"/>
      <c r="O431" s="21"/>
      <c r="Q431" s="23"/>
      <c r="S431" s="23"/>
      <c r="U431" s="23"/>
      <c r="V431" s="10"/>
    </row>
    <row r="432" spans="3:22" x14ac:dyDescent="0.25">
      <c r="C432" s="15"/>
      <c r="D432"/>
      <c r="E432"/>
      <c r="N432" s="23"/>
      <c r="O432" s="21"/>
      <c r="Q432" s="23"/>
      <c r="S432" s="23"/>
      <c r="U432" s="23"/>
      <c r="V432" s="10"/>
    </row>
    <row r="433" spans="3:22" x14ac:dyDescent="0.25">
      <c r="C433" s="15"/>
      <c r="D433"/>
      <c r="E433"/>
      <c r="N433" s="23"/>
      <c r="O433" s="21"/>
      <c r="Q433" s="23"/>
      <c r="S433" s="23"/>
      <c r="U433" s="23"/>
      <c r="V433" s="10"/>
    </row>
    <row r="434" spans="3:22" ht="15.75" x14ac:dyDescent="0.25">
      <c r="C434" s="17"/>
      <c r="D434" s="20"/>
      <c r="E434"/>
      <c r="N434" s="23"/>
      <c r="O434" s="21"/>
      <c r="Q434" s="27"/>
      <c r="S434" s="23"/>
      <c r="U434" s="27"/>
      <c r="V434" s="10"/>
    </row>
    <row r="435" spans="3:22" ht="15.75" x14ac:dyDescent="0.25">
      <c r="C435" s="17"/>
      <c r="D435" s="20"/>
      <c r="E435"/>
      <c r="N435" s="23"/>
      <c r="O435" s="21"/>
      <c r="Q435" s="25"/>
      <c r="S435" s="23"/>
      <c r="U435" s="25"/>
      <c r="V435" s="10"/>
    </row>
    <row r="436" spans="3:22" ht="15.75" x14ac:dyDescent="0.25">
      <c r="C436" s="17"/>
      <c r="D436" s="20"/>
      <c r="E436"/>
      <c r="N436" s="23"/>
      <c r="O436" s="21"/>
      <c r="Q436" s="25"/>
      <c r="S436" s="23"/>
      <c r="U436" s="25"/>
      <c r="V436" s="10"/>
    </row>
    <row r="437" spans="3:22" ht="15.75" x14ac:dyDescent="0.25">
      <c r="C437" s="17"/>
      <c r="D437" s="20"/>
      <c r="E437"/>
      <c r="N437" s="23"/>
      <c r="O437" s="21"/>
      <c r="Q437" s="25"/>
      <c r="S437" s="23"/>
      <c r="U437" s="25"/>
      <c r="V437" s="10"/>
    </row>
    <row r="438" spans="3:22" ht="15.75" x14ac:dyDescent="0.25">
      <c r="C438" s="17"/>
      <c r="D438" s="20"/>
      <c r="E438"/>
      <c r="N438" s="23"/>
      <c r="O438" s="21"/>
      <c r="Q438" s="25"/>
      <c r="S438" s="23"/>
      <c r="U438" s="25"/>
      <c r="V438" s="10"/>
    </row>
    <row r="439" spans="3:22" ht="15.75" x14ac:dyDescent="0.25">
      <c r="C439" s="17"/>
      <c r="D439" s="20"/>
      <c r="E439"/>
      <c r="N439" s="23"/>
      <c r="O439" s="21"/>
      <c r="Q439" s="26"/>
      <c r="S439" s="23"/>
      <c r="U439" s="26"/>
      <c r="V439" s="10"/>
    </row>
    <row r="440" spans="3:22" ht="15.75" x14ac:dyDescent="0.25">
      <c r="C440" s="18"/>
      <c r="D440" s="20"/>
      <c r="E440"/>
      <c r="N440" s="23"/>
      <c r="O440" s="21"/>
      <c r="Q440" s="25"/>
      <c r="S440" s="23"/>
      <c r="U440" s="25"/>
      <c r="V440" s="10"/>
    </row>
  </sheetData>
  <dataValidations count="3">
    <dataValidation type="decimal" operator="greaterThan" allowBlank="1" showInputMessage="1" showErrorMessage="1" errorTitle="Numeric Value Expected" error="The value entered should be a number greater than zero." sqref="O2:O440" xr:uid="{59413FFC-AC27-4466-B25A-CDA0A2012A4B}">
      <formula1>0</formula1>
    </dataValidation>
    <dataValidation type="whole" allowBlank="1" showInputMessage="1" showErrorMessage="1" errorTitle="Numeric Value Expected" error="The value entered should be a whole number and greater than zero '0'." sqref="Q2:Q389 Q394:Q401 Q411:Q440 S2:S440 U394:U401 U411:U440 U2:U389" xr:uid="{589FF18F-6053-4848-99FA-1F82943684A8}">
      <formula1>1</formula1>
      <formula2>999000000</formula2>
    </dataValidation>
    <dataValidation type="custom" allowBlank="1" showInputMessage="1" showErrorMessage="1" errorTitle="Numeric Value Expected" error="When 'Recommended Stocking Status' equals 'Stocking', then a whole number greater than zero '0' is expected._x000a__x000a_When 'Recommended Stocking Status' equals 'Non Stocking', then the number zero '0' is expected." sqref="Q390:Q393 Q402:Q410 U390:U393 U402:U410" xr:uid="{3F4282B6-1E66-4208-9547-E4A65D7D495B}">
      <formula1>IF(ISNUMBER(Q390), IF(P390 = "Stocking", IF(Q390 &gt; 0, TRUE, FALSE), IF(AND(P390 = "Non Stocking",Q390 = 0), TRUE, FALSE) ), FALSE)</formula1>
    </dataValidation>
  </dataValidations>
  <hyperlinks>
    <hyperlink ref="AG4" r:id="rId1" xr:uid="{AB911E95-DBF3-47BD-AC85-C1ACC25298FF}"/>
    <hyperlink ref="AG5" r:id="rId2" xr:uid="{5B3DA21E-4E51-4CC8-90E4-CA082381AD0C}"/>
    <hyperlink ref="AG6" r:id="rId3" xr:uid="{88DBF653-DD6A-4336-BE5A-5F5CEE19AF2A}"/>
    <hyperlink ref="AG7" r:id="rId4" xr:uid="{1B7F8EF0-3ECE-4955-89AF-4D59A57A93C5}"/>
    <hyperlink ref="AG8" r:id="rId5" xr:uid="{C895B14B-9A67-4E7C-BDE7-CF0D1C5F2359}"/>
    <hyperlink ref="AH4" r:id="rId6" xr:uid="{0BBD9A68-7D5F-4D84-8D7D-DA8CC31672EC}"/>
    <hyperlink ref="AG2:AG3" r:id="rId7" display="https://static.wixstatic.com/media/866c55_b7a4248471bd49c8ad71f8c036f4db2d~mv2.png/v1/fill/w_315,h_600,al_c,q_85,usm_0.66_1.00_0.01,enc_avif,quality_auto/866c55_b7a4248471bd49c8ad71f8c036f4db2d~mv2.png" xr:uid="{EF9A2AE3-6BD2-402E-B769-8DD58FF4AF53}"/>
    <hyperlink ref="AH2:AH3" r:id="rId8" display="https://www.surgepure.com/_files/ugd/866c55_505ec3b165db4529b4fdcebb2a24b8db.pdf" xr:uid="{758F4D5C-5C01-4356-B057-5CBD409DB58F}"/>
    <hyperlink ref="AG9" r:id="rId9" xr:uid="{9C4BD224-F13C-4EED-9A5B-AD1C8EAC0A82}"/>
    <hyperlink ref="AH9" r:id="rId10" xr:uid="{61D2D131-29E8-4D91-B5EA-7918DA872890}"/>
    <hyperlink ref="AG10" r:id="rId11" xr:uid="{D8758A77-8F1A-43A4-979E-01674D9DA51F}"/>
    <hyperlink ref="AG11" r:id="rId12" xr:uid="{AF4FD785-84B0-4174-8B72-754FE16035D0}"/>
    <hyperlink ref="AG12" r:id="rId13" xr:uid="{C96A8132-F711-4831-ACF7-503A45969EBA}"/>
    <hyperlink ref="AG13" r:id="rId14" xr:uid="{A254F9B0-EA5F-4BD9-9A4F-C7201F094596}"/>
    <hyperlink ref="AG14" r:id="rId15" xr:uid="{14B5070D-3C55-4A78-A173-0F312EE5F18F}"/>
    <hyperlink ref="AG15" r:id="rId16" xr:uid="{A767860B-C1C5-4B88-8A66-26F554C19297}"/>
    <hyperlink ref="AG16" r:id="rId17" xr:uid="{D84EF828-BD77-4EF8-B6E8-AEE8D2021AFE}"/>
    <hyperlink ref="AG17" r:id="rId18" xr:uid="{2296D551-8803-444D-B4B7-F8BA9C08C850}"/>
    <hyperlink ref="AG18" r:id="rId19" xr:uid="{0929AF08-C175-425A-944B-E136D14F5568}"/>
    <hyperlink ref="AG19" r:id="rId20" xr:uid="{545142D8-D549-43CB-AF5F-373AF251B245}"/>
    <hyperlink ref="AG20" r:id="rId21" xr:uid="{BE5E84C0-A69F-483E-B6FF-F2E7EA08A79E}"/>
    <hyperlink ref="AG21" r:id="rId22" xr:uid="{60204FEA-1E7B-4834-8153-E6948C594F7B}"/>
    <hyperlink ref="AG22" r:id="rId23" xr:uid="{798A6D8F-FFA7-41E1-9032-C1D9611676C7}"/>
    <hyperlink ref="AG23" r:id="rId24" xr:uid="{DCBD5A71-4DE3-4D98-8C7F-55E509BC8ECA}"/>
    <hyperlink ref="AG24" r:id="rId25" xr:uid="{D93272A5-EDF6-461C-84DB-081A102C3D79}"/>
    <hyperlink ref="AH10" r:id="rId26" xr:uid="{1DD086BA-CEF9-48A4-A1CE-4B6C3254CD62}"/>
    <hyperlink ref="AH11" r:id="rId27" xr:uid="{B2460E8D-8D7A-4A67-BEC7-9F103678B94E}"/>
    <hyperlink ref="AH12" r:id="rId28" xr:uid="{B6D00A1B-F3D0-464F-B139-BB1BED39792A}"/>
    <hyperlink ref="AH13" r:id="rId29" xr:uid="{8E36D7D9-19FC-43F5-90A2-83AFA75C5982}"/>
    <hyperlink ref="AH14" r:id="rId30" xr:uid="{13751084-DE38-484A-ABD7-FAB69C0D90F3}"/>
    <hyperlink ref="AH15" r:id="rId31" xr:uid="{E7B04C1E-3D45-4876-9770-18DA7DC3B0EE}"/>
    <hyperlink ref="AH16" r:id="rId32" xr:uid="{F8AE8B50-D097-4E9D-B885-446B9B77769C}"/>
    <hyperlink ref="AH17" r:id="rId33" xr:uid="{824C56F9-5D48-4189-952F-F55F581779EE}"/>
    <hyperlink ref="AH18" r:id="rId34" xr:uid="{2D24458C-6B94-45EF-8E71-2D9263BA4FB3}"/>
    <hyperlink ref="AH19" r:id="rId35" xr:uid="{E298C129-1452-4787-8D2B-FE3DD5F72667}"/>
    <hyperlink ref="AH20" r:id="rId36" xr:uid="{A2D59680-F550-4D02-9D64-E2B04791E848}"/>
    <hyperlink ref="AH21" r:id="rId37" xr:uid="{9CA7A890-7D49-4D84-8590-B470B2F165E8}"/>
    <hyperlink ref="AH22" r:id="rId38" xr:uid="{1FC805F7-BC85-4CCB-A804-06E52F064EB9}"/>
    <hyperlink ref="AH23" r:id="rId39" xr:uid="{16071641-2374-43DE-9073-FE593FBFAA72}"/>
    <hyperlink ref="AH24" r:id="rId40" xr:uid="{C61B5466-64FE-4FBA-B8DF-C22404AF6FE3}"/>
    <hyperlink ref="AG25" r:id="rId41" xr:uid="{04692D01-D2D0-4ACE-87D0-D934F9E7E863}"/>
    <hyperlink ref="AH25" r:id="rId42" xr:uid="{493C29F2-7AAC-4F47-A0BF-2B51E94D5393}"/>
    <hyperlink ref="AG26" r:id="rId43" xr:uid="{14B3C21A-2A08-45DC-B795-262AC10050B8}"/>
    <hyperlink ref="AG27" r:id="rId44" xr:uid="{32F1F2D6-65F6-4BA7-B769-C4F2D6081A08}"/>
    <hyperlink ref="AG28" r:id="rId45" xr:uid="{F075A771-DBC3-4D18-B3C4-48D7340B22BF}"/>
    <hyperlink ref="AG29" r:id="rId46" xr:uid="{38341F84-47F1-45B9-813D-A515031BB5B1}"/>
    <hyperlink ref="AG30" r:id="rId47" xr:uid="{C7B911FA-187C-484D-96AE-0ACE3FE09C7B}"/>
    <hyperlink ref="AG31" r:id="rId48" xr:uid="{41A7505C-C3FD-4ED5-9A8A-34E75836F578}"/>
    <hyperlink ref="AG32" r:id="rId49" xr:uid="{ABA410F2-6B39-42DD-B3CB-90F63C82577F}"/>
    <hyperlink ref="AH26" r:id="rId50" xr:uid="{3D4FD9FB-008C-4160-9EA2-63466A4080E5}"/>
    <hyperlink ref="AH27" r:id="rId51" xr:uid="{D0055C41-63D9-4306-991D-B03BE6DAB238}"/>
    <hyperlink ref="AH28" r:id="rId52" xr:uid="{C475A49B-0889-459C-86E7-B883EE5B5019}"/>
    <hyperlink ref="AH29" r:id="rId53" xr:uid="{AAC1172E-472A-4552-9E48-797D57901D1B}"/>
    <hyperlink ref="AH30" r:id="rId54" xr:uid="{BAA9C806-1DCA-45AC-901C-B22029F6C1ED}"/>
    <hyperlink ref="AH31" r:id="rId55" xr:uid="{EB68A5A9-E942-4AA6-839F-9BEC4940F738}"/>
    <hyperlink ref="AH32" r:id="rId56" xr:uid="{B6C115EA-1EB6-4B11-9339-C41876CA23A5}"/>
    <hyperlink ref="AG33" r:id="rId57" xr:uid="{08A62CB7-FD90-4E31-95E2-911D79D2E51A}"/>
    <hyperlink ref="AH33" r:id="rId58" xr:uid="{86EB66AB-E05F-4233-B1F4-0DDDC72FD16B}"/>
    <hyperlink ref="AG34" r:id="rId59" xr:uid="{4C050743-805E-45DE-A560-5A9E4A571AE2}"/>
    <hyperlink ref="AG35" r:id="rId60" xr:uid="{B25882D7-CAC9-42E8-81A4-24447A18F9B7}"/>
    <hyperlink ref="AG36" r:id="rId61" xr:uid="{93C4C93B-FF3C-48A8-988F-444B28D26CBC}"/>
    <hyperlink ref="AG37" r:id="rId62" xr:uid="{34D72C8C-C827-4492-98FC-A0A8B9252EBE}"/>
    <hyperlink ref="AG38" r:id="rId63" xr:uid="{CDD9EABE-3E48-4F0C-B983-50216FE66405}"/>
    <hyperlink ref="AG39" r:id="rId64" xr:uid="{17BC8AA0-4D31-40DE-96D7-95252A358468}"/>
    <hyperlink ref="AG40" r:id="rId65" xr:uid="{5D073FD5-E32F-46DB-A361-BE5E6CFAD841}"/>
    <hyperlink ref="AG41" r:id="rId66" xr:uid="{CCFE8D06-AA09-4952-9DB5-9BA1FE8A7134}"/>
    <hyperlink ref="AG42" r:id="rId67" xr:uid="{90F0A6C8-7B07-4940-917A-CAB8C86BB8FF}"/>
    <hyperlink ref="AG43" r:id="rId68" xr:uid="{E34E1F64-B1CB-48CD-B77D-B23DE3F1D777}"/>
    <hyperlink ref="AG44" r:id="rId69" xr:uid="{04ACEF42-6A04-4764-B5EC-6D2000B26E0B}"/>
    <hyperlink ref="AG45" r:id="rId70" xr:uid="{4941B502-7AA8-45F8-A7B3-8C77D0A6D612}"/>
    <hyperlink ref="AG46" r:id="rId71" xr:uid="{D2BAE9F7-9567-469F-BA2F-03642832E204}"/>
    <hyperlink ref="AG47" r:id="rId72" xr:uid="{125CF701-21F4-4283-890B-AC6A6AA02BB7}"/>
    <hyperlink ref="AG48" r:id="rId73" xr:uid="{DEE737AB-30B2-487E-AD91-1EB270CEAD8D}"/>
    <hyperlink ref="AH34" r:id="rId74" xr:uid="{1484F376-76E4-45D3-9591-A830ECA2E731}"/>
    <hyperlink ref="AH35" r:id="rId75" xr:uid="{5EE0CE2C-4139-4C28-9865-6773C060AB2F}"/>
    <hyperlink ref="AH36" r:id="rId76" xr:uid="{2BFA9B4C-AA84-4F1D-A487-34051BC9DCAF}"/>
    <hyperlink ref="AH37" r:id="rId77" xr:uid="{72637F83-7BAF-4270-9D8D-A1AF6A465172}"/>
    <hyperlink ref="AH38" r:id="rId78" xr:uid="{C4B12251-902A-4139-BF4B-6DC5C7D98BA8}"/>
    <hyperlink ref="AH39" r:id="rId79" xr:uid="{85C14332-740E-4890-9C50-02B863E21D48}"/>
    <hyperlink ref="AH40" r:id="rId80" xr:uid="{DA94C718-4C0D-478A-AE45-25FFC9B3B4A1}"/>
    <hyperlink ref="AH41" r:id="rId81" xr:uid="{BBA84F2B-374C-4076-9D65-FA9D94615EC3}"/>
    <hyperlink ref="AH42" r:id="rId82" xr:uid="{B08AC8C5-10DE-4318-869C-973165C2883E}"/>
    <hyperlink ref="AH43" r:id="rId83" xr:uid="{E1EBC433-B6CA-441A-84A6-294CD6BE787F}"/>
    <hyperlink ref="AH44" r:id="rId84" xr:uid="{256BDD10-5E79-440E-AC72-BF20E198959B}"/>
    <hyperlink ref="AH45" r:id="rId85" xr:uid="{E6E675AF-37E2-4BC2-924E-1B930B90D2AE}"/>
    <hyperlink ref="AH46" r:id="rId86" xr:uid="{4C2CC7B5-F581-4D57-AF7B-FF9771D27ED9}"/>
    <hyperlink ref="AH47" r:id="rId87" xr:uid="{933C7C30-2CAC-406D-BFA8-DB08794ABCAB}"/>
    <hyperlink ref="AH48" r:id="rId88" xr:uid="{EA1B1B7D-6B2B-4240-896B-99C2CFB8C562}"/>
    <hyperlink ref="AG49" r:id="rId89" xr:uid="{5D002322-0682-4A4E-B511-F3C3C0D5F1D9}"/>
    <hyperlink ref="AH49" r:id="rId90" xr:uid="{2532E613-448F-432F-91AA-2D9858ACFF65}"/>
    <hyperlink ref="AH50:AH64" r:id="rId91" display="https://www.surgepure.com/_files/ugd/866c55_7963cd3063b24cdab3fe47c0cc09d480.pdf" xr:uid="{29F081B9-A59C-45CC-A5C6-D17305697B97}"/>
    <hyperlink ref="AG65" r:id="rId92" xr:uid="{A64B0FAE-C52B-4C76-AAF5-C7947341BC2D}"/>
    <hyperlink ref="AH65" r:id="rId93" xr:uid="{B9B5E197-4EF8-4F2C-B0F0-058CD9BB059B}"/>
    <hyperlink ref="AG66" r:id="rId94" xr:uid="{825FBB99-7C6B-4A22-B9FE-BC3D855C06B7}"/>
    <hyperlink ref="AG67" r:id="rId95" xr:uid="{A5DC3C4D-B1D3-45AC-9295-4B8A3BE25052}"/>
    <hyperlink ref="AG68" r:id="rId96" xr:uid="{50A0A662-4620-44B7-9DE3-0A642A1EA542}"/>
    <hyperlink ref="AG69" r:id="rId97" xr:uid="{C6CC7D00-B004-4A0E-8E27-6AAA9D15025C}"/>
    <hyperlink ref="AG70" r:id="rId98" xr:uid="{8BBB53FA-F7E8-4D64-BDD5-FBC8E787F66B}"/>
    <hyperlink ref="AG71" r:id="rId99" xr:uid="{4D998BF4-F21E-4DDC-87CF-FDFEB9239983}"/>
    <hyperlink ref="AG72" r:id="rId100" xr:uid="{C93FE797-FB26-4DF9-8C11-1C95BDA56877}"/>
    <hyperlink ref="AG73" r:id="rId101" xr:uid="{0B662A05-906E-476C-9901-092E122119A7}"/>
    <hyperlink ref="AG74" r:id="rId102" xr:uid="{2652EDFB-720D-4062-86DE-A373DD94CFB8}"/>
    <hyperlink ref="AG75" r:id="rId103" xr:uid="{EAC60E41-C0DB-4D44-BC43-D89640C56A46}"/>
    <hyperlink ref="AG76" r:id="rId104" xr:uid="{7AE0925D-E4EF-4A5D-8165-B64BB6AA290A}"/>
    <hyperlink ref="AG77" r:id="rId105" xr:uid="{7722B0B7-3445-41D5-B9C7-24555CD6B2CF}"/>
    <hyperlink ref="AG78" r:id="rId106" xr:uid="{1581F24D-03CA-43C6-A8DE-2B99CE76CB9C}"/>
    <hyperlink ref="AG79" r:id="rId107" xr:uid="{699B456F-38DA-4D12-B076-F826C72F30AD}"/>
    <hyperlink ref="AG80" r:id="rId108" xr:uid="{866FDA87-B195-425E-BA83-56EDE455C19B}"/>
    <hyperlink ref="AH66" r:id="rId109" xr:uid="{917EB2A3-FD7D-4698-B686-8D4340DDD9BF}"/>
    <hyperlink ref="AH67" r:id="rId110" xr:uid="{04906868-740B-454B-8D9E-AE3EF97F84D3}"/>
    <hyperlink ref="AH68" r:id="rId111" xr:uid="{DA68690A-5C3B-4A33-8FD7-A15D3980CFEA}"/>
    <hyperlink ref="AH69" r:id="rId112" xr:uid="{20CAA82C-AA53-484A-9413-3CB0CEA3CA06}"/>
    <hyperlink ref="AH70" r:id="rId113" xr:uid="{075A77DC-D429-41D6-9F2A-B9CF8F3B8169}"/>
    <hyperlink ref="AH71" r:id="rId114" xr:uid="{3CE81034-8F33-4784-8330-4312ECB5255B}"/>
    <hyperlink ref="AH72" r:id="rId115" xr:uid="{567125C7-42D5-4C9E-A2F9-DC54E3F0015D}"/>
    <hyperlink ref="AH73" r:id="rId116" xr:uid="{4ED8AC76-7639-44E9-8EFC-78034AB213F7}"/>
    <hyperlink ref="AH74" r:id="rId117" xr:uid="{9FE340E7-59F1-4389-96E4-A93915786357}"/>
    <hyperlink ref="AH75" r:id="rId118" xr:uid="{BF47354D-D58C-4B60-9B9F-9C31B9063DE6}"/>
    <hyperlink ref="AH76" r:id="rId119" xr:uid="{B21631E1-DFD2-40CA-BAB4-C705D33E0492}"/>
    <hyperlink ref="AH77" r:id="rId120" xr:uid="{64E5DE30-B8CB-4EBC-B433-3D167F35B70F}"/>
    <hyperlink ref="AH78" r:id="rId121" xr:uid="{CDE53F50-F761-4099-AE48-7832FC8BE052}"/>
    <hyperlink ref="AH79" r:id="rId122" xr:uid="{C177CAF4-570B-41AF-963A-84DF855B2B64}"/>
    <hyperlink ref="AH80" r:id="rId123" xr:uid="{7BF3658E-8FBB-4F14-A72C-EE4D35EAEC22}"/>
    <hyperlink ref="AG50:AG64" r:id="rId124" display="https://static.wixstatic.com/media/866c55_2bb4cfd91ea94b98bf1feb1ff2a11e93~mv2.jpg/v1/fill/w_493,h_735,al_c,q_85,usm_0.66_1.00_0.01,enc_avif,quality_auto/Mach%205.jpg" xr:uid="{132B885B-C23D-4E03-9E31-CDCA1B863B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NPI LOAD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Winters</dc:creator>
  <cp:lastModifiedBy>Ryan Winters</cp:lastModifiedBy>
  <dcterms:created xsi:type="dcterms:W3CDTF">2023-12-08T22:12:48Z</dcterms:created>
  <dcterms:modified xsi:type="dcterms:W3CDTF">2026-01-21T00:27:06Z</dcterms:modified>
</cp:coreProperties>
</file>